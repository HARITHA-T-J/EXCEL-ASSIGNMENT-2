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onapark\Desktop\"/>
    </mc:Choice>
  </mc:AlternateContent>
  <xr:revisionPtr revIDLastSave="0" documentId="13_ncr:1_{13DD772E-6366-4790-B9D5-E4313BE668E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set" sheetId="2" r:id="rId1"/>
    <sheet name="Instructions" sheetId="1" r:id="rId2"/>
    <sheet name="Solution" sheetId="4" r:id="rId3"/>
  </sheets>
  <definedNames>
    <definedName name="ExternalData_1" localSheetId="2" hidden="1">Solution!$C$180:$J$211</definedName>
    <definedName name="ExternalData_2" localSheetId="2" hidden="1">Solution!$C$145:$H$176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D215" i="4" l="1"/>
  <c r="F285" i="4"/>
  <c r="G285" i="4" s="1"/>
  <c r="F286" i="4"/>
  <c r="G286" i="4" s="1"/>
  <c r="F287" i="4"/>
  <c r="G287" i="4" s="1"/>
  <c r="F288" i="4"/>
  <c r="G288" i="4" s="1"/>
  <c r="F289" i="4"/>
  <c r="G289" i="4" s="1"/>
  <c r="F290" i="4"/>
  <c r="G290" i="4" s="1"/>
  <c r="F291" i="4"/>
  <c r="G291" i="4" s="1"/>
  <c r="F292" i="4"/>
  <c r="G292" i="4" s="1"/>
  <c r="F293" i="4"/>
  <c r="G293" i="4" s="1"/>
  <c r="F294" i="4"/>
  <c r="G294" i="4" s="1"/>
  <c r="F295" i="4"/>
  <c r="G295" i="4" s="1"/>
  <c r="F296" i="4"/>
  <c r="G296" i="4" s="1"/>
  <c r="F297" i="4"/>
  <c r="G297" i="4" s="1"/>
  <c r="F298" i="4"/>
  <c r="G298" i="4" s="1"/>
  <c r="F299" i="4"/>
  <c r="G299" i="4" s="1"/>
  <c r="F300" i="4"/>
  <c r="G300" i="4" s="1"/>
  <c r="F301" i="4"/>
  <c r="G301" i="4" s="1"/>
  <c r="F302" i="4"/>
  <c r="G302" i="4" s="1"/>
  <c r="F303" i="4"/>
  <c r="G303" i="4" s="1"/>
  <c r="F304" i="4"/>
  <c r="G304" i="4" s="1"/>
  <c r="F305" i="4"/>
  <c r="G305" i="4" s="1"/>
  <c r="F306" i="4"/>
  <c r="G306" i="4" s="1"/>
  <c r="F307" i="4"/>
  <c r="G307" i="4" s="1"/>
  <c r="F308" i="4"/>
  <c r="G308" i="4" s="1"/>
  <c r="F309" i="4"/>
  <c r="G309" i="4" s="1"/>
  <c r="F310" i="4"/>
  <c r="G310" i="4" s="1"/>
  <c r="F311" i="4"/>
  <c r="G311" i="4" s="1"/>
  <c r="F312" i="4"/>
  <c r="G312" i="4" s="1"/>
  <c r="F313" i="4"/>
  <c r="G313" i="4" s="1"/>
  <c r="F314" i="4"/>
  <c r="G314" i="4" s="1"/>
  <c r="F284" i="4"/>
  <c r="G284" i="4" s="1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5986E5-8BE6-48B1-BDCA-BBAE16B26753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  <connection id="2" xr16:uid="{C276B280-BBE8-478B-A35E-160667651DF3}" keepAlive="1" name="Query - Dataset (2)" description="Connection to the 'Dataset (2)' query in the workbook." type="5" refreshedVersion="8" background="1" saveData="1">
    <dbPr connection="Provider=Microsoft.Mashup.OleDb.1;Data Source=$Workbook$;Location=&quot;Dataset (2)&quot;;Extended Properties=&quot;&quot;" command="SELECT * FROM [Dataset (2)]"/>
  </connection>
  <connection id="3" xr16:uid="{5E039E70-F8C1-491E-8F3B-709B5F7AC7B2}" keepAlive="1" name="Query - Dataset (3)" description="Connection to the 'Dataset (3)' query in the workbook." type="5" refreshedVersion="8" background="1" saveData="1">
    <dbPr connection="Provider=Microsoft.Mashup.OleDb.1;Data Source=$Workbook$;Location=&quot;Dataset (3)&quot;;Extended Properties=&quot;&quot;" command="SELECT * FROM [Dataset (3)]"/>
  </connection>
  <connection id="4" xr16:uid="{15667582-635C-4E2D-811F-844B6332ACCC}" keepAlive="1" name="Query - Dataset (4)" description="Connection to the 'Dataset (4)' query in the workbook." type="5" refreshedVersion="8" background="1" saveData="1">
    <dbPr connection="Provider=Microsoft.Mashup.OleDb.1;Data Source=$Workbook$;Location=&quot;Dataset (4)&quot;;Extended Properties=&quot;&quot;" command="SELECT * FROM [Dataset (4)]"/>
  </connection>
  <connection id="5" xr16:uid="{70985F30-E727-4DB8-832F-7D8A82A5815A}" keepAlive="1" name="Query - Dataset (5)" description="Connection to the 'Dataset (5)' query in the workbook." type="5" refreshedVersion="8" background="1" saveData="1">
    <dbPr connection="Provider=Microsoft.Mashup.OleDb.1;Data Source=$Workbook$;Location=&quot;Dataset (5)&quot;;Extended Properties=&quot;&quot;" command="SELECT * FROM [Dataset (5)]"/>
  </connection>
</connections>
</file>

<file path=xl/sharedStrings.xml><?xml version="1.0" encoding="utf-8"?>
<sst xmlns="http://schemas.openxmlformats.org/spreadsheetml/2006/main" count="701" uniqueCount="155">
  <si>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</si>
  <si>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</si>
  <si>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</si>
  <si>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</si>
  <si>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</si>
  <si>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</si>
  <si>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</si>
  <si>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</si>
  <si>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</si>
  <si>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</si>
  <si>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</si>
  <si>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</si>
  <si>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</si>
  <si>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</si>
  <si>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</si>
  <si>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</si>
  <si>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</si>
  <si>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</si>
  <si>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</si>
  <si>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</si>
  <si>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</si>
  <si>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</si>
  <si>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</si>
  <si>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</si>
  <si>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</si>
  <si>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</si>
  <si>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</si>
  <si>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</si>
  <si>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</si>
  <si>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</si>
  <si>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</si>
  <si>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</si>
  <si>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</si>
  <si>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</si>
  <si>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</si>
  <si>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</si>
  <si>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</si>
  <si>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</si>
  <si>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</si>
  <si>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</si>
  <si>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</si>
  <si>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</si>
  <si>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</si>
  <si>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</si>
  <si>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</si>
  <si>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</si>
  <si>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</si>
  <si>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</si>
  <si>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</si>
  <si>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</si>
  <si>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</si>
  <si>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</si>
  <si>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</si>
  <si>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</si>
  <si>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</si>
  <si>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</si>
  <si>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</si>
  <si>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</si>
  <si>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</si>
  <si>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</si>
  <si>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</si>
  <si>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</si>
  <si>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</si>
  <si>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</si>
  <si>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</si>
  <si>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</si>
  <si>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</si>
  <si>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</si>
  <si>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</si>
  <si>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</si>
  <si>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</si>
  <si>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</si>
  <si>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</si>
  <si>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</si>
  <si>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</si>
  <si>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</si>
  <si>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</si>
  <si>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</si>
  <si>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</si>
  <si>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</si>
  <si>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</si>
  <si>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</si>
  <si>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</si>
  <si>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</si>
  <si>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</si>
  <si>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</si>
  <si>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</si>
  <si>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</si>
  <si>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</si>
  <si>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</si>
  <si>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</si>
  <si>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</si>
  <si>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</si>
  <si>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</si>
  <si>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</si>
  <si>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</si>
  <si>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</si>
  <si>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</si>
  <si>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</si>
  <si>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</si>
  <si>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</si>
  <si>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</si>
  <si>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</si>
  <si>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</si>
  <si>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</si>
  <si>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</si>
  <si>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</si>
  <si>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</si>
  <si>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</si>
  <si>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</si>
  <si>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</si>
  <si>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</si>
  <si>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</si>
  <si>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</si>
  <si>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</si>
  <si>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</si>
  <si>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</si>
  <si>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</si>
  <si>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Category Corrected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</si>
  <si>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</si>
  <si>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</si>
  <si>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</si>
  <si>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</si>
  <si>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</si>
  <si>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</si>
  <si>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</si>
  <si>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</si>
  <si>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</si>
  <si>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T-Shirt</t>
  </si>
  <si>
    <t>AUG</t>
  </si>
  <si>
    <t>SEP</t>
  </si>
  <si>
    <t>OCT</t>
  </si>
  <si>
    <t>IN</t>
  </si>
  <si>
    <t>Hp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</si>
  <si>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</si>
  <si>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</si>
  <si>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</si>
  <si>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</si>
  <si>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</si>
  <si>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</si>
  <si>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</si>
  <si>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</si>
  <si>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</si>
  <si>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</si>
  <si>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Levi'S</t>
  </si>
  <si>
    <t>FR</t>
  </si>
  <si>
    <t>Month</t>
  </si>
  <si>
    <t>Solution -Excel Assignment 2</t>
  </si>
  <si>
    <t>Product Brand</t>
  </si>
  <si>
    <t>Year</t>
  </si>
  <si>
    <t xml:space="preserve"> Manufacturing Date</t>
  </si>
  <si>
    <t>Day</t>
  </si>
  <si>
    <t>Date</t>
  </si>
  <si>
    <t xml:space="preserve">Category </t>
  </si>
  <si>
    <t>corrected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</si>
</sst>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[$-14009]dd/mm/yyyy;@"/>
  </numFmts>
  <fonts count="1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1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b/>
      <sz val="10"/>
      <name val="Arial"/>
      <family val="2"/>
      <scheme val="minor"/>
    </font>
    <font>
      <b/>
      <u/>
      <sz val="18"/>
      <color rgb="FF000000"/>
      <name val="Arial"/>
      <family val="2"/>
      <scheme val="minor"/>
    </font>
    <font>
      <b/>
      <u/>
      <sz val="12"/>
      <color theme="1"/>
      <name val="Times New Roman"/>
      <family val="1"/>
    </font>
    <font>
      <u/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0" fillId="0" borderId="3" xfId="0" applyBorder="1"/>
    <xf numFmtId="0" fontId="8" fillId="4" borderId="1" xfId="0" applyFont="1" applyFill="1" applyBorder="1"/>
    <xf numFmtId="0" fontId="0" fillId="5" borderId="1" xfId="0" applyFill="1" applyBorder="1"/>
    <xf numFmtId="0" fontId="0" fillId="0" borderId="1" xfId="0" applyBorder="1"/>
    <xf numFmtId="0" fontId="8" fillId="4" borderId="2" xfId="0" applyFont="1" applyFill="1" applyBorder="1"/>
    <xf numFmtId="0" fontId="0" fillId="5" borderId="2" xfId="0" applyFill="1" applyBorder="1"/>
    <xf numFmtId="0" fontId="0" fillId="0" borderId="2" xfId="0" applyBorder="1"/>
    <xf numFmtId="0" fontId="9" fillId="4" borderId="1" xfId="0" applyFont="1" applyFill="1" applyBorder="1"/>
    <xf numFmtId="0" fontId="10" fillId="5" borderId="1" xfId="0" applyFont="1" applyFill="1" applyBorder="1"/>
    <xf numFmtId="0" fontId="10" fillId="0" borderId="1" xfId="0" applyFont="1" applyBorder="1"/>
    <xf numFmtId="0" fontId="11" fillId="0" borderId="0" xfId="0" applyFont="1"/>
    <xf numFmtId="164" fontId="9" fillId="4" borderId="1" xfId="0" applyNumberFormat="1" applyFont="1" applyFill="1" applyBorder="1"/>
    <xf numFmtId="164" fontId="10" fillId="5" borderId="1" xfId="0" applyNumberFormat="1" applyFont="1" applyFill="1" applyBorder="1"/>
    <xf numFmtId="164" fontId="10" fillId="0" borderId="1" xfId="0" applyNumberFormat="1" applyFont="1" applyBorder="1"/>
    <xf numFmtId="0" fontId="12" fillId="0" borderId="0" xfId="0" applyFont="1"/>
    <xf numFmtId="0" fontId="9" fillId="4" borderId="3" xfId="0" applyFont="1" applyFill="1" applyBorder="1"/>
    <xf numFmtId="14" fontId="9" fillId="4" borderId="3" xfId="0" applyNumberFormat="1" applyFont="1" applyFill="1" applyBorder="1"/>
    <xf numFmtId="0" fontId="10" fillId="5" borderId="3" xfId="0" applyFont="1" applyFill="1" applyBorder="1"/>
    <xf numFmtId="165" fontId="0" fillId="0" borderId="3" xfId="0" applyNumberFormat="1" applyBorder="1"/>
    <xf numFmtId="0" fontId="10" fillId="0" borderId="3" xfId="0" applyFont="1" applyBorder="1"/>
    <xf numFmtId="0" fontId="13" fillId="6" borderId="3" xfId="0" applyFont="1" applyFill="1" applyBorder="1"/>
    <xf numFmtId="0" fontId="10" fillId="7" borderId="3" xfId="0" applyFont="1" applyFill="1" applyBorder="1"/>
    <xf numFmtId="0" fontId="10" fillId="8" borderId="3" xfId="0" applyFont="1" applyFill="1" applyBorder="1"/>
    <xf numFmtId="0" fontId="15" fillId="0" borderId="0" xfId="0" applyFont="1"/>
    <xf numFmtId="0" fontId="16" fillId="0" borderId="0" xfId="0" applyFont="1"/>
    <xf numFmtId="0" fontId="0" fillId="8" borderId="0" xfId="0" applyFill="1"/>
    <xf numFmtId="0" fontId="16" fillId="8" borderId="0" xfId="0" applyFont="1" applyFill="1"/>
    <xf numFmtId="0" fontId="16" fillId="7" borderId="0" xfId="0" applyFont="1" applyFill="1"/>
    <xf numFmtId="0" fontId="14" fillId="0" borderId="0" xfId="0" applyFont="1" applyAlignment="1">
      <alignment horizont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BCCFD73-006B-4026-8D5C-77371A290B39}" autoFormatId="16" applyNumberFormats="0" applyBorderFormats="0" applyFontFormats="0" applyPatternFormats="0" applyAlignmentFormats="0" applyWidthHeightFormats="0">
  <queryTableRefresh nextId="9">
    <queryTableFields count="8">
      <queryTableField id="1" name="Manufacturing Date" tableColumnId="1"/>
      <queryTableField id="2" name="Product ID.2" tableColumnId="2"/>
      <queryTableField id="3" name="Country Code" tableColumnId="3"/>
      <queryTableField id="4" name="Product Name" tableColumnId="4"/>
      <queryTableField id="5" name="Brand Name" tableColumnId="5"/>
      <queryTableField id="6" name="Price ($)" tableColumnId="6"/>
      <queryTableField id="7" name="Quantity" tableColumnId="7"/>
      <queryTableField id="8" name="Category Correcte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DCDEDF9B-0F14-4674-AEF5-32C4D326D22F}" autoFormatId="16" applyNumberFormats="0" applyBorderFormats="0" applyFontFormats="0" applyPatternFormats="0" applyAlignmentFormats="0" applyWidthHeightFormats="0">
  <queryTableRefresh nextId="7">
    <queryTableFields count="6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orrected 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59896F-4DE3-4BAB-9DDE-CB2E78D8DA6B}" name="Dataset" displayName="Dataset" ref="C180:J211" tableType="queryTable" totalsRowShown="0">
  <autoFilter ref="C180:J211" xr:uid="{1059896F-4DE3-4BAB-9DDE-CB2E78D8DA6B}"/>
  <tableColumns count="8">
    <tableColumn id="1" xr3:uid="{3761E0E8-1C0F-44C1-A49C-91242753E6D2}" uniqueName="1" name="Manufacturing Date" queryTableFieldId="1"/>
    <tableColumn id="2" xr3:uid="{2625ACFB-ADDE-4285-8E31-DCB78BEA010A}" uniqueName="2" name="Month" queryTableFieldId="2" dataDxfId="7"/>
    <tableColumn id="3" xr3:uid="{86693046-FA39-4E9D-B2CA-26F6F42FFC1B}" uniqueName="3" name="Country Code" queryTableFieldId="3" dataDxfId="6"/>
    <tableColumn id="4" xr3:uid="{FDF60454-63E2-4196-82DB-EFB8C801DA4A}" uniqueName="4" name="Product Name" queryTableFieldId="4" dataDxfId="5"/>
    <tableColumn id="5" xr3:uid="{9C970392-E6FF-40D5-A55B-FA99F1E7BA76}" uniqueName="5" name="Brand Name" queryTableFieldId="5" dataDxfId="4"/>
    <tableColumn id="6" xr3:uid="{F6CC1055-8A47-4E61-A46A-E2F8D128E856}" uniqueName="6" name="Price ($)" queryTableFieldId="6"/>
    <tableColumn id="7" xr3:uid="{596C2827-73B7-422D-9E0C-496F9E00FF22}" uniqueName="7" name="Quantity" queryTableFieldId="7"/>
    <tableColumn id="8" xr3:uid="{B5EA537E-09E4-45E8-8D5A-50D3F9017ACA}" uniqueName="8" name="Category Corrected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5BB690-1CAD-42AC-864B-C3DE9C0D165C}" name="Dataset4" displayName="Dataset4" ref="C145:H176" tableType="queryTable" totalsRowShown="0">
  <autoFilter ref="C145:H176" xr:uid="{545BB690-1CAD-42AC-864B-C3DE9C0D165C}"/>
  <tableColumns count="6">
    <tableColumn id="1" xr3:uid="{310B41B4-63A4-4F9A-9DC2-B177A9E51F8D}" uniqueName="1" name="Product ID" queryTableFieldId="1" dataDxfId="2"/>
    <tableColumn id="2" xr3:uid="{40BF11F6-23C8-4BC9-85BA-F534BF6CBB95}" uniqueName="2" name="Product Name" queryTableFieldId="2" dataDxfId="1"/>
    <tableColumn id="3" xr3:uid="{047E22CD-96A0-4CC2-AEFB-DE9917A8A529}" uniqueName="3" name="Brand Name" queryTableFieldId="3" dataDxfId="0"/>
    <tableColumn id="4" xr3:uid="{60682D8E-9CD2-4805-B3FE-D2268348643A}" uniqueName="4" name="Price ($)" queryTableFieldId="4"/>
    <tableColumn id="5" xr3:uid="{AC2071B7-3DB0-49FA-9D40-0F2DD84DEA4D}" uniqueName="5" name="Quantity" queryTableFieldId="5"/>
    <tableColumn id="6" xr3:uid="{A49DA4C2-E487-4338-939C-A940A2CFF3D1}" uniqueName="6" name="corrected category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F1" sqref="F1"/>
    </sheetView>
  </sheetViews>
  <sheetFormatPr defaultColWidth="12.6640625" defaultRowHeight="15" customHeight="1" x14ac:dyDescent="0.25"/>
  <cols>
    <col min="1" max="1" width="16.109375" customWidth="1"/>
    <col min="2" max="2" width="17.44140625" customWidth="1"/>
    <col min="3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E26" sqref="E26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89D6A-F692-4529-A568-68E123C21689}">
  <dimension ref="A1:N384"/>
  <sheetViews>
    <sheetView tabSelected="1" topLeftCell="A366" zoomScale="104" workbookViewId="0">
      <selection activeCell="C145" sqref="C145:H176"/>
    </sheetView>
  </sheetViews>
  <sheetFormatPr defaultRowHeight="13.2" x14ac:dyDescent="0.25"/>
  <cols>
    <col min="3" max="3" width="27.88671875" customWidth="1"/>
    <col min="4" max="4" width="21.44140625" bestFit="1" customWidth="1"/>
    <col min="5" max="5" width="14.44140625" customWidth="1"/>
    <col min="6" max="6" width="17.44140625" customWidth="1"/>
    <col min="7" max="7" width="19" customWidth="1"/>
    <col min="8" max="8" width="10.77734375" customWidth="1"/>
    <col min="9" max="9" width="11.109375" customWidth="1"/>
    <col min="10" max="10" width="10.77734375" customWidth="1"/>
    <col min="11" max="11" width="14" customWidth="1"/>
  </cols>
  <sheetData>
    <row r="1" spans="1:14" ht="22.8" x14ac:dyDescent="0.4">
      <c r="A1" s="37" t="s">
        <v>147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5.6" x14ac:dyDescent="0.3">
      <c r="B2" s="32" t="s">
        <v>1</v>
      </c>
      <c r="C2" s="33"/>
      <c r="D2" s="33"/>
    </row>
    <row r="3" spans="1:14" ht="15.6" x14ac:dyDescent="0.3">
      <c r="C3" s="3" t="s">
        <v>2</v>
      </c>
    </row>
    <row r="4" spans="1:14" ht="13.8" x14ac:dyDescent="0.25">
      <c r="C4" s="10" t="s">
        <v>22</v>
      </c>
    </row>
    <row r="5" spans="1:14" x14ac:dyDescent="0.25">
      <c r="C5" s="11">
        <v>1000</v>
      </c>
    </row>
    <row r="6" spans="1:14" x14ac:dyDescent="0.25">
      <c r="C6" s="12">
        <v>80</v>
      </c>
    </row>
    <row r="7" spans="1:14" x14ac:dyDescent="0.25">
      <c r="C7" s="11">
        <v>130</v>
      </c>
    </row>
    <row r="8" spans="1:14" x14ac:dyDescent="0.25">
      <c r="C8" s="12">
        <v>900</v>
      </c>
    </row>
    <row r="9" spans="1:14" x14ac:dyDescent="0.25">
      <c r="C9" s="11">
        <v>70</v>
      </c>
    </row>
    <row r="10" spans="1:14" x14ac:dyDescent="0.25">
      <c r="C10" s="12">
        <v>130</v>
      </c>
    </row>
    <row r="11" spans="1:14" x14ac:dyDescent="0.25">
      <c r="C11" s="11">
        <v>30</v>
      </c>
    </row>
    <row r="12" spans="1:14" x14ac:dyDescent="0.25">
      <c r="C12" s="12">
        <v>90</v>
      </c>
    </row>
    <row r="13" spans="1:14" x14ac:dyDescent="0.25">
      <c r="C13" s="11">
        <v>500</v>
      </c>
    </row>
    <row r="14" spans="1:14" x14ac:dyDescent="0.25">
      <c r="C14" s="12">
        <v>130</v>
      </c>
    </row>
    <row r="15" spans="1:14" x14ac:dyDescent="0.25">
      <c r="C15" s="11">
        <v>950</v>
      </c>
    </row>
    <row r="16" spans="1:14" x14ac:dyDescent="0.25">
      <c r="C16" s="12">
        <v>90</v>
      </c>
    </row>
    <row r="17" spans="3:3" x14ac:dyDescent="0.25">
      <c r="C17" s="11">
        <v>120</v>
      </c>
    </row>
    <row r="18" spans="3:3" x14ac:dyDescent="0.25">
      <c r="C18" s="12">
        <v>150</v>
      </c>
    </row>
    <row r="19" spans="3:3" x14ac:dyDescent="0.25">
      <c r="C19" s="11">
        <v>250</v>
      </c>
    </row>
    <row r="20" spans="3:3" x14ac:dyDescent="0.25">
      <c r="C20" s="12">
        <v>50</v>
      </c>
    </row>
    <row r="21" spans="3:3" x14ac:dyDescent="0.25">
      <c r="C21" s="11">
        <v>160</v>
      </c>
    </row>
    <row r="22" spans="3:3" x14ac:dyDescent="0.25">
      <c r="C22" s="12">
        <v>980</v>
      </c>
    </row>
    <row r="23" spans="3:3" x14ac:dyDescent="0.25">
      <c r="C23" s="11">
        <v>150</v>
      </c>
    </row>
    <row r="24" spans="3:3" x14ac:dyDescent="0.25">
      <c r="C24" s="12">
        <v>130</v>
      </c>
    </row>
    <row r="25" spans="3:3" x14ac:dyDescent="0.25">
      <c r="C25" s="11">
        <v>700</v>
      </c>
    </row>
    <row r="26" spans="3:3" x14ac:dyDescent="0.25">
      <c r="C26" s="12">
        <v>80</v>
      </c>
    </row>
    <row r="27" spans="3:3" x14ac:dyDescent="0.25">
      <c r="C27" s="11">
        <v>150</v>
      </c>
    </row>
    <row r="28" spans="3:3" x14ac:dyDescent="0.25">
      <c r="C28" s="12">
        <v>800</v>
      </c>
    </row>
    <row r="29" spans="3:3" x14ac:dyDescent="0.25">
      <c r="C29" s="11">
        <v>130</v>
      </c>
    </row>
    <row r="30" spans="3:3" x14ac:dyDescent="0.25">
      <c r="C30" s="12">
        <v>400</v>
      </c>
    </row>
    <row r="31" spans="3:3" x14ac:dyDescent="0.25">
      <c r="C31" s="11">
        <v>60</v>
      </c>
    </row>
    <row r="32" spans="3:3" x14ac:dyDescent="0.25">
      <c r="C32" s="12">
        <v>40</v>
      </c>
    </row>
    <row r="33" spans="2:3" x14ac:dyDescent="0.25">
      <c r="C33" s="11">
        <v>130</v>
      </c>
    </row>
    <row r="34" spans="2:3" x14ac:dyDescent="0.25">
      <c r="C34" s="12">
        <v>50</v>
      </c>
    </row>
    <row r="35" spans="2:3" x14ac:dyDescent="0.25">
      <c r="C35" s="11">
        <v>100</v>
      </c>
    </row>
    <row r="36" spans="2:3" ht="15.6" x14ac:dyDescent="0.3">
      <c r="B36" s="4"/>
      <c r="C36" s="3" t="s">
        <v>3</v>
      </c>
    </row>
    <row r="37" spans="2:3" ht="13.8" x14ac:dyDescent="0.25">
      <c r="C37" s="13" t="s">
        <v>118</v>
      </c>
    </row>
    <row r="38" spans="2:3" x14ac:dyDescent="0.25">
      <c r="C38" s="14" t="s">
        <v>28</v>
      </c>
    </row>
    <row r="39" spans="2:3" x14ac:dyDescent="0.25">
      <c r="C39" s="15" t="s">
        <v>32</v>
      </c>
    </row>
    <row r="40" spans="2:3" x14ac:dyDescent="0.25">
      <c r="C40" s="14" t="s">
        <v>36</v>
      </c>
    </row>
    <row r="41" spans="2:3" x14ac:dyDescent="0.25">
      <c r="C41" s="15" t="s">
        <v>28</v>
      </c>
    </row>
    <row r="42" spans="2:3" x14ac:dyDescent="0.25">
      <c r="C42" s="14" t="s">
        <v>59</v>
      </c>
    </row>
    <row r="43" spans="2:3" x14ac:dyDescent="0.25">
      <c r="C43" s="15" t="s">
        <v>28</v>
      </c>
    </row>
    <row r="44" spans="2:3" x14ac:dyDescent="0.25">
      <c r="C44" s="14" t="s">
        <v>32</v>
      </c>
    </row>
    <row r="45" spans="2:3" x14ac:dyDescent="0.25">
      <c r="C45" s="15" t="s">
        <v>36</v>
      </c>
    </row>
    <row r="46" spans="2:3" x14ac:dyDescent="0.25">
      <c r="C46" s="14" t="s">
        <v>28</v>
      </c>
    </row>
    <row r="47" spans="2:3" x14ac:dyDescent="0.25">
      <c r="C47" s="15" t="s">
        <v>59</v>
      </c>
    </row>
    <row r="48" spans="2:3" x14ac:dyDescent="0.25">
      <c r="C48" s="14" t="s">
        <v>28</v>
      </c>
    </row>
    <row r="49" spans="3:3" x14ac:dyDescent="0.25">
      <c r="C49" s="15" t="s">
        <v>32</v>
      </c>
    </row>
    <row r="50" spans="3:3" x14ac:dyDescent="0.25">
      <c r="C50" s="14" t="s">
        <v>36</v>
      </c>
    </row>
    <row r="51" spans="3:3" x14ac:dyDescent="0.25">
      <c r="C51" s="15" t="s">
        <v>28</v>
      </c>
    </row>
    <row r="52" spans="3:3" x14ac:dyDescent="0.25">
      <c r="C52" s="14" t="s">
        <v>28</v>
      </c>
    </row>
    <row r="53" spans="3:3" x14ac:dyDescent="0.25">
      <c r="C53" s="15" t="s">
        <v>75</v>
      </c>
    </row>
    <row r="54" spans="3:3" x14ac:dyDescent="0.25">
      <c r="C54" s="14" t="s">
        <v>28</v>
      </c>
    </row>
    <row r="55" spans="3:3" x14ac:dyDescent="0.25">
      <c r="C55" s="15" t="s">
        <v>28</v>
      </c>
    </row>
    <row r="56" spans="3:3" x14ac:dyDescent="0.25">
      <c r="C56" s="14" t="s">
        <v>32</v>
      </c>
    </row>
    <row r="57" spans="3:3" x14ac:dyDescent="0.25">
      <c r="C57" s="15" t="s">
        <v>59</v>
      </c>
    </row>
    <row r="58" spans="3:3" x14ac:dyDescent="0.25">
      <c r="C58" s="14" t="s">
        <v>28</v>
      </c>
    </row>
    <row r="59" spans="3:3" x14ac:dyDescent="0.25">
      <c r="C59" s="15" t="s">
        <v>36</v>
      </c>
    </row>
    <row r="60" spans="3:3" x14ac:dyDescent="0.25">
      <c r="C60" s="14" t="s">
        <v>28</v>
      </c>
    </row>
    <row r="61" spans="3:3" x14ac:dyDescent="0.25">
      <c r="C61" s="15" t="s">
        <v>28</v>
      </c>
    </row>
    <row r="62" spans="3:3" x14ac:dyDescent="0.25">
      <c r="C62" s="14" t="s">
        <v>32</v>
      </c>
    </row>
    <row r="63" spans="3:3" x14ac:dyDescent="0.25">
      <c r="C63" s="15" t="s">
        <v>36</v>
      </c>
    </row>
    <row r="64" spans="3:3" x14ac:dyDescent="0.25">
      <c r="C64" s="14" t="s">
        <v>32</v>
      </c>
    </row>
    <row r="65" spans="2:4" x14ac:dyDescent="0.25">
      <c r="C65" s="15" t="s">
        <v>36</v>
      </c>
    </row>
    <row r="66" spans="2:4" x14ac:dyDescent="0.25">
      <c r="C66" s="14" t="s">
        <v>28</v>
      </c>
    </row>
    <row r="67" spans="2:4" x14ac:dyDescent="0.25">
      <c r="C67" s="15" t="s">
        <v>32</v>
      </c>
    </row>
    <row r="68" spans="2:4" x14ac:dyDescent="0.25">
      <c r="C68" s="14" t="s">
        <v>75</v>
      </c>
    </row>
    <row r="69" spans="2:4" s="34" customFormat="1" x14ac:dyDescent="0.25">
      <c r="B69" s="35"/>
      <c r="C69" s="36"/>
      <c r="D69" s="35"/>
    </row>
    <row r="70" spans="2:4" ht="15.6" x14ac:dyDescent="0.3">
      <c r="B70" s="32" t="s">
        <v>4</v>
      </c>
      <c r="C70" s="33"/>
      <c r="D70" s="33"/>
    </row>
    <row r="71" spans="2:4" ht="15.6" x14ac:dyDescent="0.3">
      <c r="B71" s="2"/>
    </row>
    <row r="72" spans="2:4" ht="15.6" x14ac:dyDescent="0.3">
      <c r="C72" s="3" t="s">
        <v>5</v>
      </c>
    </row>
    <row r="73" spans="2:4" ht="13.8" x14ac:dyDescent="0.25">
      <c r="C73" s="10" t="s">
        <v>20</v>
      </c>
    </row>
    <row r="74" spans="2:4" x14ac:dyDescent="0.25">
      <c r="C74" s="11" t="s">
        <v>61</v>
      </c>
    </row>
    <row r="75" spans="2:4" x14ac:dyDescent="0.25">
      <c r="C75" s="12" t="s">
        <v>30</v>
      </c>
    </row>
    <row r="76" spans="2:4" x14ac:dyDescent="0.25">
      <c r="C76" s="11" t="s">
        <v>34</v>
      </c>
    </row>
    <row r="77" spans="2:4" x14ac:dyDescent="0.25">
      <c r="C77" s="12" t="s">
        <v>96</v>
      </c>
    </row>
    <row r="78" spans="2:4" x14ac:dyDescent="0.25">
      <c r="C78" s="11" t="s">
        <v>41</v>
      </c>
    </row>
    <row r="79" spans="2:4" x14ac:dyDescent="0.25">
      <c r="C79" s="12" t="s">
        <v>44</v>
      </c>
    </row>
    <row r="80" spans="2:4" x14ac:dyDescent="0.25">
      <c r="C80" s="11" t="s">
        <v>128</v>
      </c>
    </row>
    <row r="81" spans="3:3" x14ac:dyDescent="0.25">
      <c r="C81" s="12" t="s">
        <v>51</v>
      </c>
    </row>
    <row r="82" spans="3:3" x14ac:dyDescent="0.25">
      <c r="C82" s="11" t="s">
        <v>54</v>
      </c>
    </row>
    <row r="83" spans="3:3" x14ac:dyDescent="0.25">
      <c r="C83" s="12" t="s">
        <v>57</v>
      </c>
    </row>
    <row r="84" spans="3:3" x14ac:dyDescent="0.25">
      <c r="C84" s="11" t="s">
        <v>61</v>
      </c>
    </row>
    <row r="85" spans="3:3" x14ac:dyDescent="0.25">
      <c r="C85" s="12" t="s">
        <v>30</v>
      </c>
    </row>
    <row r="86" spans="3:3" x14ac:dyDescent="0.25">
      <c r="C86" s="11" t="s">
        <v>34</v>
      </c>
    </row>
    <row r="87" spans="3:3" x14ac:dyDescent="0.25">
      <c r="C87" s="12" t="s">
        <v>67</v>
      </c>
    </row>
    <row r="88" spans="3:3" x14ac:dyDescent="0.25">
      <c r="C88" s="11" t="s">
        <v>44</v>
      </c>
    </row>
    <row r="89" spans="3:3" x14ac:dyDescent="0.25">
      <c r="C89" s="12" t="s">
        <v>73</v>
      </c>
    </row>
    <row r="90" spans="3:3" x14ac:dyDescent="0.25">
      <c r="C90" s="11" t="s">
        <v>67</v>
      </c>
    </row>
    <row r="91" spans="3:3" x14ac:dyDescent="0.25">
      <c r="C91" s="12" t="s">
        <v>61</v>
      </c>
    </row>
    <row r="92" spans="3:3" x14ac:dyDescent="0.25">
      <c r="C92" s="11" t="s">
        <v>81</v>
      </c>
    </row>
    <row r="93" spans="3:3" x14ac:dyDescent="0.25">
      <c r="C93" s="12" t="s">
        <v>84</v>
      </c>
    </row>
    <row r="94" spans="3:3" x14ac:dyDescent="0.25">
      <c r="C94" s="11" t="s">
        <v>87</v>
      </c>
    </row>
    <row r="95" spans="3:3" x14ac:dyDescent="0.25">
      <c r="C95" s="12" t="s">
        <v>90</v>
      </c>
    </row>
    <row r="96" spans="3:3" x14ac:dyDescent="0.25">
      <c r="C96" s="11" t="s">
        <v>93</v>
      </c>
    </row>
    <row r="97" spans="2:3" x14ac:dyDescent="0.25">
      <c r="C97" s="12" t="s">
        <v>96</v>
      </c>
    </row>
    <row r="98" spans="2:3" x14ac:dyDescent="0.25">
      <c r="C98" s="11" t="s">
        <v>81</v>
      </c>
    </row>
    <row r="99" spans="2:3" x14ac:dyDescent="0.25">
      <c r="C99" s="12" t="s">
        <v>51</v>
      </c>
    </row>
    <row r="100" spans="2:3" x14ac:dyDescent="0.25">
      <c r="C100" s="11" t="s">
        <v>103</v>
      </c>
    </row>
    <row r="101" spans="2:3" x14ac:dyDescent="0.25">
      <c r="C101" s="12" t="s">
        <v>106</v>
      </c>
    </row>
    <row r="102" spans="2:3" x14ac:dyDescent="0.25">
      <c r="C102" s="11" t="s">
        <v>93</v>
      </c>
    </row>
    <row r="103" spans="2:3" x14ac:dyDescent="0.25">
      <c r="C103" s="12" t="s">
        <v>111</v>
      </c>
    </row>
    <row r="104" spans="2:3" x14ac:dyDescent="0.25">
      <c r="C104" s="11" t="s">
        <v>114</v>
      </c>
    </row>
    <row r="106" spans="2:3" ht="15.6" x14ac:dyDescent="0.3">
      <c r="B106" s="3" t="s">
        <v>6</v>
      </c>
    </row>
    <row r="107" spans="2:3" ht="15.6" x14ac:dyDescent="0.3">
      <c r="B107" s="3" t="s">
        <v>7</v>
      </c>
    </row>
    <row r="109" spans="2:3" ht="13.8" x14ac:dyDescent="0.25">
      <c r="C109" s="13" t="s">
        <v>153</v>
      </c>
    </row>
    <row r="110" spans="2:3" x14ac:dyDescent="0.25">
      <c r="C110" s="14" t="s">
        <v>28</v>
      </c>
    </row>
    <row r="111" spans="2:3" x14ac:dyDescent="0.25">
      <c r="C111" s="15" t="s">
        <v>32</v>
      </c>
    </row>
    <row r="112" spans="2:3" x14ac:dyDescent="0.25">
      <c r="C112" s="14" t="s">
        <v>36</v>
      </c>
    </row>
    <row r="113" spans="3:3" x14ac:dyDescent="0.25">
      <c r="C113" s="15" t="s">
        <v>28</v>
      </c>
    </row>
    <row r="114" spans="3:3" x14ac:dyDescent="0.25">
      <c r="C114" s="14" t="s">
        <v>59</v>
      </c>
    </row>
    <row r="115" spans="3:3" x14ac:dyDescent="0.25">
      <c r="C115" s="15" t="s">
        <v>28</v>
      </c>
    </row>
    <row r="116" spans="3:3" x14ac:dyDescent="0.25">
      <c r="C116" s="14" t="s">
        <v>32</v>
      </c>
    </row>
    <row r="117" spans="3:3" x14ac:dyDescent="0.25">
      <c r="C117" s="15" t="s">
        <v>36</v>
      </c>
    </row>
    <row r="118" spans="3:3" x14ac:dyDescent="0.25">
      <c r="C118" s="14" t="s">
        <v>28</v>
      </c>
    </row>
    <row r="119" spans="3:3" x14ac:dyDescent="0.25">
      <c r="C119" s="15" t="s">
        <v>59</v>
      </c>
    </row>
    <row r="120" spans="3:3" x14ac:dyDescent="0.25">
      <c r="C120" s="14" t="s">
        <v>28</v>
      </c>
    </row>
    <row r="121" spans="3:3" x14ac:dyDescent="0.25">
      <c r="C121" s="15" t="s">
        <v>32</v>
      </c>
    </row>
    <row r="122" spans="3:3" x14ac:dyDescent="0.25">
      <c r="C122" s="14" t="s">
        <v>36</v>
      </c>
    </row>
    <row r="123" spans="3:3" x14ac:dyDescent="0.25">
      <c r="C123" s="15" t="s">
        <v>28</v>
      </c>
    </row>
    <row r="124" spans="3:3" x14ac:dyDescent="0.25">
      <c r="C124" s="14" t="s">
        <v>28</v>
      </c>
    </row>
    <row r="125" spans="3:3" x14ac:dyDescent="0.25">
      <c r="C125" s="15" t="s">
        <v>75</v>
      </c>
    </row>
    <row r="126" spans="3:3" x14ac:dyDescent="0.25">
      <c r="C126" s="14" t="s">
        <v>28</v>
      </c>
    </row>
    <row r="127" spans="3:3" x14ac:dyDescent="0.25">
      <c r="C127" s="15" t="s">
        <v>28</v>
      </c>
    </row>
    <row r="128" spans="3:3" x14ac:dyDescent="0.25">
      <c r="C128" s="14" t="s">
        <v>32</v>
      </c>
    </row>
    <row r="129" spans="2:3" x14ac:dyDescent="0.25">
      <c r="C129" s="15" t="s">
        <v>59</v>
      </c>
    </row>
    <row r="130" spans="2:3" x14ac:dyDescent="0.25">
      <c r="C130" s="14" t="s">
        <v>28</v>
      </c>
    </row>
    <row r="131" spans="2:3" x14ac:dyDescent="0.25">
      <c r="C131" s="15" t="s">
        <v>36</v>
      </c>
    </row>
    <row r="132" spans="2:3" x14ac:dyDescent="0.25">
      <c r="C132" s="14" t="s">
        <v>28</v>
      </c>
    </row>
    <row r="133" spans="2:3" x14ac:dyDescent="0.25">
      <c r="C133" s="15" t="s">
        <v>28</v>
      </c>
    </row>
    <row r="134" spans="2:3" x14ac:dyDescent="0.25">
      <c r="C134" s="14" t="s">
        <v>32</v>
      </c>
    </row>
    <row r="135" spans="2:3" x14ac:dyDescent="0.25">
      <c r="C135" s="15" t="s">
        <v>36</v>
      </c>
    </row>
    <row r="136" spans="2:3" x14ac:dyDescent="0.25">
      <c r="C136" s="14" t="s">
        <v>32</v>
      </c>
    </row>
    <row r="137" spans="2:3" x14ac:dyDescent="0.25">
      <c r="C137" s="15" t="s">
        <v>36</v>
      </c>
    </row>
    <row r="138" spans="2:3" x14ac:dyDescent="0.25">
      <c r="C138" s="14" t="s">
        <v>28</v>
      </c>
    </row>
    <row r="139" spans="2:3" x14ac:dyDescent="0.25">
      <c r="C139" s="15" t="s">
        <v>32</v>
      </c>
    </row>
    <row r="140" spans="2:3" x14ac:dyDescent="0.25">
      <c r="C140" s="14" t="s">
        <v>75</v>
      </c>
    </row>
    <row r="142" spans="2:3" ht="15.6" x14ac:dyDescent="0.3">
      <c r="B142" s="32" t="s">
        <v>8</v>
      </c>
    </row>
    <row r="143" spans="2:3" ht="15.6" x14ac:dyDescent="0.3">
      <c r="B143" s="2"/>
      <c r="C143" s="3" t="s">
        <v>9</v>
      </c>
    </row>
    <row r="145" spans="3:8" x14ac:dyDescent="0.25">
      <c r="C145" t="s">
        <v>19</v>
      </c>
      <c r="D145" t="s">
        <v>20</v>
      </c>
      <c r="E145" t="s">
        <v>21</v>
      </c>
      <c r="F145" t="s">
        <v>22</v>
      </c>
      <c r="G145" t="s">
        <v>23</v>
      </c>
      <c r="H145" t="s">
        <v>154</v>
      </c>
    </row>
    <row r="146" spans="3:8" x14ac:dyDescent="0.25">
      <c r="C146" t="s">
        <v>25</v>
      </c>
      <c r="D146" t="s">
        <v>61</v>
      </c>
      <c r="E146" t="s">
        <v>27</v>
      </c>
      <c r="F146">
        <v>1000</v>
      </c>
      <c r="G146">
        <v>30</v>
      </c>
      <c r="H146" t="s">
        <v>28</v>
      </c>
    </row>
    <row r="147" spans="3:8" x14ac:dyDescent="0.25">
      <c r="C147" t="s">
        <v>29</v>
      </c>
      <c r="D147" t="s">
        <v>30</v>
      </c>
      <c r="E147" t="s">
        <v>31</v>
      </c>
      <c r="F147">
        <v>80</v>
      </c>
      <c r="G147">
        <v>15</v>
      </c>
      <c r="H147" t="s">
        <v>32</v>
      </c>
    </row>
    <row r="148" spans="3:8" x14ac:dyDescent="0.25">
      <c r="C148" t="s">
        <v>33</v>
      </c>
      <c r="D148" t="s">
        <v>34</v>
      </c>
      <c r="E148" t="s">
        <v>35</v>
      </c>
      <c r="F148">
        <v>130</v>
      </c>
      <c r="G148">
        <v>40</v>
      </c>
      <c r="H148" t="s">
        <v>36</v>
      </c>
    </row>
    <row r="149" spans="3:8" x14ac:dyDescent="0.25">
      <c r="C149" t="s">
        <v>37</v>
      </c>
      <c r="D149" t="s">
        <v>96</v>
      </c>
      <c r="E149" t="s">
        <v>39</v>
      </c>
      <c r="F149">
        <v>900</v>
      </c>
      <c r="G149">
        <v>25</v>
      </c>
      <c r="H149" t="s">
        <v>28</v>
      </c>
    </row>
    <row r="150" spans="3:8" x14ac:dyDescent="0.25">
      <c r="C150" t="s">
        <v>40</v>
      </c>
      <c r="D150" t="s">
        <v>41</v>
      </c>
      <c r="E150" t="s">
        <v>42</v>
      </c>
      <c r="F150">
        <v>70</v>
      </c>
      <c r="G150">
        <v>20</v>
      </c>
      <c r="H150" t="s">
        <v>59</v>
      </c>
    </row>
    <row r="151" spans="3:8" x14ac:dyDescent="0.25">
      <c r="C151" t="s">
        <v>43</v>
      </c>
      <c r="D151" t="s">
        <v>44</v>
      </c>
      <c r="E151" t="s">
        <v>45</v>
      </c>
      <c r="F151">
        <v>130</v>
      </c>
      <c r="G151">
        <v>45</v>
      </c>
      <c r="H151" t="s">
        <v>46</v>
      </c>
    </row>
    <row r="152" spans="3:8" x14ac:dyDescent="0.25">
      <c r="C152" t="s">
        <v>47</v>
      </c>
      <c r="D152" t="s">
        <v>128</v>
      </c>
      <c r="E152" t="s">
        <v>49</v>
      </c>
      <c r="F152">
        <v>30</v>
      </c>
      <c r="G152">
        <v>5</v>
      </c>
      <c r="H152" t="s">
        <v>32</v>
      </c>
    </row>
    <row r="153" spans="3:8" x14ac:dyDescent="0.25">
      <c r="C153" t="s">
        <v>50</v>
      </c>
      <c r="D153" t="s">
        <v>51</v>
      </c>
      <c r="E153" t="s">
        <v>52</v>
      </c>
      <c r="F153">
        <v>90</v>
      </c>
      <c r="G153">
        <v>35</v>
      </c>
      <c r="H153" t="s">
        <v>36</v>
      </c>
    </row>
    <row r="154" spans="3:8" x14ac:dyDescent="0.25">
      <c r="C154" t="s">
        <v>53</v>
      </c>
      <c r="D154" t="s">
        <v>54</v>
      </c>
      <c r="E154" t="s">
        <v>55</v>
      </c>
      <c r="F154">
        <v>500</v>
      </c>
      <c r="G154">
        <v>50</v>
      </c>
      <c r="H154" t="s">
        <v>28</v>
      </c>
    </row>
    <row r="155" spans="3:8" x14ac:dyDescent="0.25">
      <c r="C155" t="s">
        <v>56</v>
      </c>
      <c r="D155" t="s">
        <v>57</v>
      </c>
      <c r="E155" t="s">
        <v>58</v>
      </c>
      <c r="F155">
        <v>130</v>
      </c>
      <c r="G155">
        <v>10</v>
      </c>
      <c r="H155" t="s">
        <v>59</v>
      </c>
    </row>
    <row r="156" spans="3:8" x14ac:dyDescent="0.25">
      <c r="C156" t="s">
        <v>60</v>
      </c>
      <c r="D156" t="s">
        <v>61</v>
      </c>
      <c r="E156" t="s">
        <v>133</v>
      </c>
      <c r="F156">
        <v>950</v>
      </c>
      <c r="G156">
        <v>25</v>
      </c>
      <c r="H156" t="s">
        <v>28</v>
      </c>
    </row>
    <row r="157" spans="3:8" x14ac:dyDescent="0.25">
      <c r="C157" t="s">
        <v>63</v>
      </c>
      <c r="D157" t="s">
        <v>30</v>
      </c>
      <c r="E157" t="s">
        <v>49</v>
      </c>
      <c r="F157">
        <v>90</v>
      </c>
      <c r="G157">
        <v>40</v>
      </c>
      <c r="H157" t="s">
        <v>32</v>
      </c>
    </row>
    <row r="158" spans="3:8" x14ac:dyDescent="0.25">
      <c r="C158" t="s">
        <v>64</v>
      </c>
      <c r="D158" t="s">
        <v>34</v>
      </c>
      <c r="E158" t="s">
        <v>65</v>
      </c>
      <c r="F158">
        <v>120</v>
      </c>
      <c r="G158">
        <v>35</v>
      </c>
      <c r="H158" t="s">
        <v>36</v>
      </c>
    </row>
    <row r="159" spans="3:8" x14ac:dyDescent="0.25">
      <c r="C159" t="s">
        <v>66</v>
      </c>
      <c r="D159" t="s">
        <v>67</v>
      </c>
      <c r="E159" t="s">
        <v>68</v>
      </c>
      <c r="F159">
        <v>150</v>
      </c>
      <c r="G159">
        <v>15</v>
      </c>
      <c r="H159" t="s">
        <v>46</v>
      </c>
    </row>
    <row r="160" spans="3:8" x14ac:dyDescent="0.25">
      <c r="C160" t="s">
        <v>69</v>
      </c>
      <c r="D160" t="s">
        <v>44</v>
      </c>
      <c r="E160" t="s">
        <v>71</v>
      </c>
      <c r="F160">
        <v>250</v>
      </c>
      <c r="G160">
        <v>20</v>
      </c>
      <c r="H160" t="s">
        <v>46</v>
      </c>
    </row>
    <row r="161" spans="3:8" x14ac:dyDescent="0.25">
      <c r="C161" t="s">
        <v>72</v>
      </c>
      <c r="D161" t="s">
        <v>73</v>
      </c>
      <c r="E161" t="s">
        <v>74</v>
      </c>
      <c r="F161">
        <v>50</v>
      </c>
      <c r="G161">
        <v>35</v>
      </c>
      <c r="H161" t="s">
        <v>75</v>
      </c>
    </row>
    <row r="162" spans="3:8" x14ac:dyDescent="0.25">
      <c r="C162" t="s">
        <v>76</v>
      </c>
      <c r="D162" t="s">
        <v>67</v>
      </c>
      <c r="E162" t="s">
        <v>77</v>
      </c>
      <c r="F162">
        <v>160</v>
      </c>
      <c r="G162">
        <v>15</v>
      </c>
      <c r="H162" t="s">
        <v>46</v>
      </c>
    </row>
    <row r="163" spans="3:8" x14ac:dyDescent="0.25">
      <c r="C163" t="s">
        <v>78</v>
      </c>
      <c r="D163" t="s">
        <v>61</v>
      </c>
      <c r="E163" t="s">
        <v>79</v>
      </c>
      <c r="F163">
        <v>980</v>
      </c>
      <c r="G163">
        <v>10</v>
      </c>
      <c r="H163" t="s">
        <v>28</v>
      </c>
    </row>
    <row r="164" spans="3:8" x14ac:dyDescent="0.25">
      <c r="C164" t="s">
        <v>80</v>
      </c>
      <c r="D164" t="s">
        <v>81</v>
      </c>
      <c r="E164" t="s">
        <v>82</v>
      </c>
      <c r="F164">
        <v>150</v>
      </c>
      <c r="G164">
        <v>15</v>
      </c>
      <c r="H164" t="s">
        <v>32</v>
      </c>
    </row>
    <row r="165" spans="3:8" x14ac:dyDescent="0.25">
      <c r="C165" t="s">
        <v>83</v>
      </c>
      <c r="D165" t="s">
        <v>84</v>
      </c>
      <c r="E165" t="s">
        <v>85</v>
      </c>
      <c r="F165">
        <v>130</v>
      </c>
      <c r="G165">
        <v>10</v>
      </c>
      <c r="H165" t="s">
        <v>59</v>
      </c>
    </row>
    <row r="166" spans="3:8" x14ac:dyDescent="0.25">
      <c r="C166" t="s">
        <v>86</v>
      </c>
      <c r="D166" t="s">
        <v>87</v>
      </c>
      <c r="E166" t="s">
        <v>88</v>
      </c>
      <c r="F166">
        <v>700</v>
      </c>
      <c r="G166">
        <v>50</v>
      </c>
      <c r="H166" t="s">
        <v>28</v>
      </c>
    </row>
    <row r="167" spans="3:8" x14ac:dyDescent="0.25">
      <c r="C167" t="s">
        <v>89</v>
      </c>
      <c r="D167" t="s">
        <v>90</v>
      </c>
      <c r="E167" t="s">
        <v>91</v>
      </c>
      <c r="F167">
        <v>80</v>
      </c>
      <c r="G167">
        <v>20</v>
      </c>
      <c r="H167" t="s">
        <v>36</v>
      </c>
    </row>
    <row r="168" spans="3:8" x14ac:dyDescent="0.25">
      <c r="C168" t="s">
        <v>92</v>
      </c>
      <c r="D168" t="s">
        <v>93</v>
      </c>
      <c r="E168" t="s">
        <v>94</v>
      </c>
      <c r="F168">
        <v>150</v>
      </c>
      <c r="G168">
        <v>30</v>
      </c>
      <c r="H168" t="s">
        <v>28</v>
      </c>
    </row>
    <row r="169" spans="3:8" x14ac:dyDescent="0.25">
      <c r="C169" t="s">
        <v>95</v>
      </c>
      <c r="D169" t="s">
        <v>96</v>
      </c>
      <c r="E169" t="s">
        <v>97</v>
      </c>
      <c r="F169">
        <v>800</v>
      </c>
      <c r="G169">
        <v>45</v>
      </c>
      <c r="H169" t="s">
        <v>28</v>
      </c>
    </row>
    <row r="170" spans="3:8" x14ac:dyDescent="0.25">
      <c r="C170" t="s">
        <v>98</v>
      </c>
      <c r="D170" t="s">
        <v>81</v>
      </c>
      <c r="E170" t="s">
        <v>99</v>
      </c>
      <c r="F170">
        <v>130</v>
      </c>
      <c r="G170">
        <v>25</v>
      </c>
      <c r="H170" t="s">
        <v>32</v>
      </c>
    </row>
    <row r="171" spans="3:8" x14ac:dyDescent="0.25">
      <c r="C171" t="s">
        <v>100</v>
      </c>
      <c r="D171" t="s">
        <v>51</v>
      </c>
      <c r="E171" t="s">
        <v>101</v>
      </c>
      <c r="F171">
        <v>400</v>
      </c>
      <c r="G171">
        <v>40</v>
      </c>
      <c r="H171" t="s">
        <v>36</v>
      </c>
    </row>
    <row r="172" spans="3:8" x14ac:dyDescent="0.25">
      <c r="C172" t="s">
        <v>102</v>
      </c>
      <c r="D172" t="s">
        <v>103</v>
      </c>
      <c r="E172" t="s">
        <v>104</v>
      </c>
      <c r="F172">
        <v>60</v>
      </c>
      <c r="G172">
        <v>30</v>
      </c>
      <c r="H172" t="s">
        <v>32</v>
      </c>
    </row>
    <row r="173" spans="3:8" x14ac:dyDescent="0.25">
      <c r="C173" t="s">
        <v>105</v>
      </c>
      <c r="D173" t="s">
        <v>106</v>
      </c>
      <c r="E173" t="s">
        <v>107</v>
      </c>
      <c r="F173">
        <v>40</v>
      </c>
      <c r="G173">
        <v>10</v>
      </c>
      <c r="H173" t="s">
        <v>36</v>
      </c>
    </row>
    <row r="174" spans="3:8" x14ac:dyDescent="0.25">
      <c r="C174" t="s">
        <v>108</v>
      </c>
      <c r="D174" t="s">
        <v>93</v>
      </c>
      <c r="E174" t="s">
        <v>109</v>
      </c>
      <c r="F174">
        <v>130</v>
      </c>
      <c r="G174">
        <v>5</v>
      </c>
      <c r="H174" t="s">
        <v>28</v>
      </c>
    </row>
    <row r="175" spans="3:8" x14ac:dyDescent="0.25">
      <c r="C175" t="s">
        <v>110</v>
      </c>
      <c r="D175" t="s">
        <v>111</v>
      </c>
      <c r="E175" t="s">
        <v>144</v>
      </c>
      <c r="F175">
        <v>50</v>
      </c>
      <c r="G175">
        <v>50</v>
      </c>
      <c r="H175" t="s">
        <v>32</v>
      </c>
    </row>
    <row r="176" spans="3:8" x14ac:dyDescent="0.25">
      <c r="C176" t="s">
        <v>113</v>
      </c>
      <c r="D176" t="s">
        <v>114</v>
      </c>
      <c r="E176" t="s">
        <v>115</v>
      </c>
      <c r="F176">
        <v>100</v>
      </c>
      <c r="G176">
        <v>20</v>
      </c>
      <c r="H176" t="s">
        <v>75</v>
      </c>
    </row>
    <row r="178" spans="2:11" ht="15.6" x14ac:dyDescent="0.3">
      <c r="B178" s="2" t="s">
        <v>10</v>
      </c>
      <c r="C178" s="5"/>
      <c r="D178" s="5"/>
      <c r="E178" s="5"/>
      <c r="F178" s="5"/>
      <c r="G178" s="5"/>
      <c r="H178" s="5"/>
      <c r="I178" s="5"/>
      <c r="J178" s="5"/>
      <c r="K178" s="5"/>
    </row>
    <row r="179" spans="2:11" ht="15.6" x14ac:dyDescent="0.3">
      <c r="B179" s="5"/>
      <c r="C179" s="3" t="s">
        <v>11</v>
      </c>
      <c r="D179" s="5"/>
      <c r="E179" s="5"/>
      <c r="F179" s="5"/>
      <c r="G179" s="5"/>
      <c r="H179" s="5"/>
      <c r="I179" s="5"/>
      <c r="J179" s="5"/>
      <c r="K179" s="5"/>
    </row>
    <row r="180" spans="2:11" x14ac:dyDescent="0.25">
      <c r="C180" t="s">
        <v>116</v>
      </c>
      <c r="D180" s="19" t="s">
        <v>146</v>
      </c>
      <c r="E180" t="s">
        <v>117</v>
      </c>
      <c r="F180" t="s">
        <v>20</v>
      </c>
      <c r="G180" t="s">
        <v>21</v>
      </c>
      <c r="H180" t="s">
        <v>22</v>
      </c>
      <c r="I180" t="s">
        <v>23</v>
      </c>
      <c r="J180" t="s">
        <v>118</v>
      </c>
    </row>
    <row r="181" spans="2:11" x14ac:dyDescent="0.25">
      <c r="C181">
        <v>28</v>
      </c>
      <c r="D181" t="s">
        <v>119</v>
      </c>
      <c r="E181" t="s">
        <v>120</v>
      </c>
      <c r="F181" t="s">
        <v>61</v>
      </c>
      <c r="G181" t="s">
        <v>27</v>
      </c>
      <c r="H181">
        <v>1000</v>
      </c>
      <c r="I181">
        <v>30</v>
      </c>
      <c r="J181" t="s">
        <v>28</v>
      </c>
    </row>
    <row r="182" spans="2:11" x14ac:dyDescent="0.25">
      <c r="C182">
        <v>15</v>
      </c>
      <c r="D182" t="s">
        <v>121</v>
      </c>
      <c r="E182" t="s">
        <v>120</v>
      </c>
      <c r="F182" t="s">
        <v>30</v>
      </c>
      <c r="G182" t="s">
        <v>31</v>
      </c>
      <c r="H182">
        <v>80</v>
      </c>
      <c r="I182">
        <v>15</v>
      </c>
      <c r="J182" t="s">
        <v>32</v>
      </c>
    </row>
    <row r="183" spans="2:11" x14ac:dyDescent="0.25">
      <c r="C183">
        <v>3</v>
      </c>
      <c r="D183" t="s">
        <v>122</v>
      </c>
      <c r="E183" t="s">
        <v>120</v>
      </c>
      <c r="F183" t="s">
        <v>34</v>
      </c>
      <c r="G183" t="s">
        <v>35</v>
      </c>
      <c r="H183">
        <v>130</v>
      </c>
      <c r="I183">
        <v>40</v>
      </c>
      <c r="J183" t="s">
        <v>36</v>
      </c>
    </row>
    <row r="184" spans="2:11" x14ac:dyDescent="0.25">
      <c r="C184">
        <v>11</v>
      </c>
      <c r="D184" t="s">
        <v>123</v>
      </c>
      <c r="E184" t="s">
        <v>120</v>
      </c>
      <c r="F184" t="s">
        <v>96</v>
      </c>
      <c r="G184" t="s">
        <v>39</v>
      </c>
      <c r="H184">
        <v>900</v>
      </c>
      <c r="I184">
        <v>25</v>
      </c>
      <c r="J184" t="s">
        <v>28</v>
      </c>
    </row>
    <row r="185" spans="2:11" x14ac:dyDescent="0.25">
      <c r="C185">
        <v>22</v>
      </c>
      <c r="D185" t="s">
        <v>124</v>
      </c>
      <c r="E185" t="s">
        <v>120</v>
      </c>
      <c r="F185" t="s">
        <v>41</v>
      </c>
      <c r="G185" t="s">
        <v>42</v>
      </c>
      <c r="H185">
        <v>70</v>
      </c>
      <c r="I185">
        <v>20</v>
      </c>
      <c r="J185" t="s">
        <v>59</v>
      </c>
    </row>
    <row r="186" spans="2:11" x14ac:dyDescent="0.25">
      <c r="C186">
        <v>7</v>
      </c>
      <c r="D186" t="s">
        <v>125</v>
      </c>
      <c r="E186" t="s">
        <v>126</v>
      </c>
      <c r="F186" t="s">
        <v>44</v>
      </c>
      <c r="G186" t="s">
        <v>45</v>
      </c>
      <c r="H186">
        <v>130</v>
      </c>
      <c r="I186">
        <v>45</v>
      </c>
      <c r="J186" t="s">
        <v>28</v>
      </c>
    </row>
    <row r="187" spans="2:11" x14ac:dyDescent="0.25">
      <c r="C187">
        <v>19</v>
      </c>
      <c r="D187" t="s">
        <v>127</v>
      </c>
      <c r="E187" t="s">
        <v>126</v>
      </c>
      <c r="F187" t="s">
        <v>128</v>
      </c>
      <c r="G187" t="s">
        <v>49</v>
      </c>
      <c r="H187">
        <v>30</v>
      </c>
      <c r="I187">
        <v>5</v>
      </c>
      <c r="J187" t="s">
        <v>32</v>
      </c>
    </row>
    <row r="188" spans="2:11" x14ac:dyDescent="0.25">
      <c r="C188">
        <v>23</v>
      </c>
      <c r="D188" t="s">
        <v>129</v>
      </c>
      <c r="E188" t="s">
        <v>126</v>
      </c>
      <c r="F188" t="s">
        <v>51</v>
      </c>
      <c r="G188" t="s">
        <v>52</v>
      </c>
      <c r="H188">
        <v>90</v>
      </c>
      <c r="I188">
        <v>35</v>
      </c>
      <c r="J188" t="s">
        <v>36</v>
      </c>
    </row>
    <row r="189" spans="2:11" x14ac:dyDescent="0.25">
      <c r="C189">
        <v>5</v>
      </c>
      <c r="D189" t="s">
        <v>130</v>
      </c>
      <c r="E189" t="s">
        <v>126</v>
      </c>
      <c r="F189" t="s">
        <v>54</v>
      </c>
      <c r="G189" t="s">
        <v>55</v>
      </c>
      <c r="H189">
        <v>500</v>
      </c>
      <c r="I189">
        <v>50</v>
      </c>
      <c r="J189" t="s">
        <v>28</v>
      </c>
    </row>
    <row r="190" spans="2:11" x14ac:dyDescent="0.25">
      <c r="C190">
        <v>14</v>
      </c>
      <c r="D190" t="s">
        <v>131</v>
      </c>
      <c r="E190" t="s">
        <v>126</v>
      </c>
      <c r="F190" t="s">
        <v>57</v>
      </c>
      <c r="G190" t="s">
        <v>58</v>
      </c>
      <c r="H190">
        <v>130</v>
      </c>
      <c r="I190">
        <v>10</v>
      </c>
      <c r="J190" t="s">
        <v>59</v>
      </c>
    </row>
    <row r="191" spans="2:11" x14ac:dyDescent="0.25">
      <c r="C191">
        <v>17</v>
      </c>
      <c r="D191" t="s">
        <v>125</v>
      </c>
      <c r="E191" t="s">
        <v>132</v>
      </c>
      <c r="F191" t="s">
        <v>61</v>
      </c>
      <c r="G191" t="s">
        <v>133</v>
      </c>
      <c r="H191">
        <v>950</v>
      </c>
      <c r="I191">
        <v>25</v>
      </c>
      <c r="J191" t="s">
        <v>28</v>
      </c>
    </row>
    <row r="192" spans="2:11" x14ac:dyDescent="0.25">
      <c r="C192">
        <v>25</v>
      </c>
      <c r="D192" t="s">
        <v>134</v>
      </c>
      <c r="E192" t="s">
        <v>135</v>
      </c>
      <c r="F192" t="s">
        <v>30</v>
      </c>
      <c r="G192" t="s">
        <v>49</v>
      </c>
      <c r="H192">
        <v>90</v>
      </c>
      <c r="I192">
        <v>40</v>
      </c>
      <c r="J192" t="s">
        <v>32</v>
      </c>
    </row>
    <row r="193" spans="3:10" x14ac:dyDescent="0.25">
      <c r="C193">
        <v>8</v>
      </c>
      <c r="D193" t="s">
        <v>136</v>
      </c>
      <c r="E193" t="s">
        <v>137</v>
      </c>
      <c r="F193" t="s">
        <v>34</v>
      </c>
      <c r="G193" t="s">
        <v>65</v>
      </c>
      <c r="H193">
        <v>120</v>
      </c>
      <c r="I193">
        <v>35</v>
      </c>
      <c r="J193" t="s">
        <v>36</v>
      </c>
    </row>
    <row r="194" spans="3:10" x14ac:dyDescent="0.25">
      <c r="C194">
        <v>18</v>
      </c>
      <c r="D194" t="s">
        <v>121</v>
      </c>
      <c r="E194" t="s">
        <v>138</v>
      </c>
      <c r="F194" t="s">
        <v>67</v>
      </c>
      <c r="G194" t="s">
        <v>68</v>
      </c>
      <c r="H194">
        <v>150</v>
      </c>
      <c r="I194">
        <v>15</v>
      </c>
      <c r="J194" t="s">
        <v>28</v>
      </c>
    </row>
    <row r="195" spans="3:10" x14ac:dyDescent="0.25">
      <c r="C195">
        <v>16</v>
      </c>
      <c r="D195" t="s">
        <v>123</v>
      </c>
      <c r="E195" t="s">
        <v>139</v>
      </c>
      <c r="F195" t="s">
        <v>44</v>
      </c>
      <c r="G195" t="s">
        <v>71</v>
      </c>
      <c r="H195">
        <v>250</v>
      </c>
      <c r="I195">
        <v>20</v>
      </c>
      <c r="J195" t="s">
        <v>28</v>
      </c>
    </row>
    <row r="196" spans="3:10" x14ac:dyDescent="0.25">
      <c r="C196">
        <v>21</v>
      </c>
      <c r="D196" t="s">
        <v>129</v>
      </c>
      <c r="E196" t="s">
        <v>138</v>
      </c>
      <c r="F196" t="s">
        <v>73</v>
      </c>
      <c r="G196" t="s">
        <v>74</v>
      </c>
      <c r="H196">
        <v>50</v>
      </c>
      <c r="I196">
        <v>35</v>
      </c>
      <c r="J196" t="s">
        <v>75</v>
      </c>
    </row>
    <row r="197" spans="3:10" x14ac:dyDescent="0.25">
      <c r="C197">
        <v>20</v>
      </c>
      <c r="D197" t="s">
        <v>129</v>
      </c>
      <c r="E197" t="s">
        <v>140</v>
      </c>
      <c r="F197" t="s">
        <v>67</v>
      </c>
      <c r="G197" t="s">
        <v>77</v>
      </c>
      <c r="H197">
        <v>160</v>
      </c>
      <c r="I197">
        <v>15</v>
      </c>
      <c r="J197" t="s">
        <v>28</v>
      </c>
    </row>
    <row r="198" spans="3:10" x14ac:dyDescent="0.25">
      <c r="C198">
        <v>27</v>
      </c>
      <c r="D198" t="s">
        <v>119</v>
      </c>
      <c r="E198" t="s">
        <v>141</v>
      </c>
      <c r="F198" t="s">
        <v>61</v>
      </c>
      <c r="G198" t="s">
        <v>79</v>
      </c>
      <c r="H198">
        <v>980</v>
      </c>
      <c r="I198">
        <v>10</v>
      </c>
      <c r="J198" t="s">
        <v>28</v>
      </c>
    </row>
    <row r="199" spans="3:10" x14ac:dyDescent="0.25">
      <c r="C199">
        <v>1</v>
      </c>
      <c r="D199" t="s">
        <v>122</v>
      </c>
      <c r="E199" t="s">
        <v>126</v>
      </c>
      <c r="F199" t="s">
        <v>81</v>
      </c>
      <c r="G199" t="s">
        <v>82</v>
      </c>
      <c r="H199">
        <v>150</v>
      </c>
      <c r="I199">
        <v>15</v>
      </c>
      <c r="J199" t="s">
        <v>32</v>
      </c>
    </row>
    <row r="200" spans="3:10" x14ac:dyDescent="0.25">
      <c r="C200">
        <v>14</v>
      </c>
      <c r="D200" t="s">
        <v>129</v>
      </c>
      <c r="E200" t="s">
        <v>120</v>
      </c>
      <c r="F200" t="s">
        <v>84</v>
      </c>
      <c r="G200" t="s">
        <v>85</v>
      </c>
      <c r="H200">
        <v>130</v>
      </c>
      <c r="I200">
        <v>10</v>
      </c>
      <c r="J200" t="s">
        <v>59</v>
      </c>
    </row>
    <row r="201" spans="3:10" x14ac:dyDescent="0.25">
      <c r="C201">
        <v>14</v>
      </c>
      <c r="D201" t="s">
        <v>124</v>
      </c>
      <c r="E201" t="s">
        <v>142</v>
      </c>
      <c r="F201" t="s">
        <v>87</v>
      </c>
      <c r="G201" t="s">
        <v>88</v>
      </c>
      <c r="H201">
        <v>700</v>
      </c>
      <c r="I201">
        <v>50</v>
      </c>
      <c r="J201" t="s">
        <v>28</v>
      </c>
    </row>
    <row r="202" spans="3:10" x14ac:dyDescent="0.25">
      <c r="C202">
        <v>9</v>
      </c>
      <c r="D202" t="s">
        <v>119</v>
      </c>
      <c r="E202" t="s">
        <v>138</v>
      </c>
      <c r="F202" t="s">
        <v>90</v>
      </c>
      <c r="G202" t="s">
        <v>91</v>
      </c>
      <c r="H202">
        <v>80</v>
      </c>
      <c r="I202">
        <v>20</v>
      </c>
      <c r="J202" t="s">
        <v>36</v>
      </c>
    </row>
    <row r="203" spans="3:10" x14ac:dyDescent="0.25">
      <c r="C203">
        <v>19</v>
      </c>
      <c r="D203" t="s">
        <v>127</v>
      </c>
      <c r="E203" t="s">
        <v>143</v>
      </c>
      <c r="F203" t="s">
        <v>93</v>
      </c>
      <c r="G203" t="s">
        <v>94</v>
      </c>
      <c r="H203">
        <v>150</v>
      </c>
      <c r="I203">
        <v>30</v>
      </c>
      <c r="J203" t="s">
        <v>28</v>
      </c>
    </row>
    <row r="204" spans="3:10" x14ac:dyDescent="0.25">
      <c r="C204">
        <v>29</v>
      </c>
      <c r="D204" t="s">
        <v>130</v>
      </c>
      <c r="E204" t="s">
        <v>138</v>
      </c>
      <c r="F204" t="s">
        <v>96</v>
      </c>
      <c r="G204" t="s">
        <v>97</v>
      </c>
      <c r="H204">
        <v>800</v>
      </c>
      <c r="I204">
        <v>45</v>
      </c>
      <c r="J204" t="s">
        <v>28</v>
      </c>
    </row>
    <row r="205" spans="3:10" x14ac:dyDescent="0.25">
      <c r="C205">
        <v>3</v>
      </c>
      <c r="D205" t="s">
        <v>125</v>
      </c>
      <c r="E205" t="s">
        <v>138</v>
      </c>
      <c r="F205" t="s">
        <v>81</v>
      </c>
      <c r="G205" t="s">
        <v>99</v>
      </c>
      <c r="H205">
        <v>130</v>
      </c>
      <c r="I205">
        <v>25</v>
      </c>
      <c r="J205" t="s">
        <v>32</v>
      </c>
    </row>
    <row r="206" spans="3:10" x14ac:dyDescent="0.25">
      <c r="C206">
        <v>11</v>
      </c>
      <c r="D206" t="s">
        <v>127</v>
      </c>
      <c r="E206" t="s">
        <v>138</v>
      </c>
      <c r="F206" t="s">
        <v>51</v>
      </c>
      <c r="G206" t="s">
        <v>101</v>
      </c>
      <c r="H206">
        <v>400</v>
      </c>
      <c r="I206">
        <v>40</v>
      </c>
      <c r="J206" t="s">
        <v>36</v>
      </c>
    </row>
    <row r="207" spans="3:10" x14ac:dyDescent="0.25">
      <c r="C207">
        <v>7</v>
      </c>
      <c r="D207" t="s">
        <v>122</v>
      </c>
      <c r="E207" t="s">
        <v>138</v>
      </c>
      <c r="F207" t="s">
        <v>103</v>
      </c>
      <c r="G207" t="s">
        <v>104</v>
      </c>
      <c r="H207">
        <v>60</v>
      </c>
      <c r="I207">
        <v>30</v>
      </c>
      <c r="J207" t="s">
        <v>32</v>
      </c>
    </row>
    <row r="208" spans="3:10" x14ac:dyDescent="0.25">
      <c r="C208">
        <v>13</v>
      </c>
      <c r="D208" t="s">
        <v>123</v>
      </c>
      <c r="E208" t="s">
        <v>138</v>
      </c>
      <c r="F208" t="s">
        <v>106</v>
      </c>
      <c r="G208" t="s">
        <v>107</v>
      </c>
      <c r="H208">
        <v>40</v>
      </c>
      <c r="I208">
        <v>10</v>
      </c>
      <c r="J208" t="s">
        <v>36</v>
      </c>
    </row>
    <row r="209" spans="2:10" x14ac:dyDescent="0.25">
      <c r="C209">
        <v>24</v>
      </c>
      <c r="D209" t="s">
        <v>124</v>
      </c>
      <c r="E209" t="s">
        <v>138</v>
      </c>
      <c r="F209" t="s">
        <v>93</v>
      </c>
      <c r="G209" t="s">
        <v>109</v>
      </c>
      <c r="H209">
        <v>130</v>
      </c>
      <c r="I209">
        <v>5</v>
      </c>
      <c r="J209" t="s">
        <v>28</v>
      </c>
    </row>
    <row r="210" spans="2:10" x14ac:dyDescent="0.25">
      <c r="C210">
        <v>2</v>
      </c>
      <c r="D210" t="s">
        <v>136</v>
      </c>
      <c r="E210" t="s">
        <v>138</v>
      </c>
      <c r="F210" t="s">
        <v>111</v>
      </c>
      <c r="G210" t="s">
        <v>144</v>
      </c>
      <c r="H210">
        <v>50</v>
      </c>
      <c r="I210">
        <v>50</v>
      </c>
      <c r="J210" t="s">
        <v>32</v>
      </c>
    </row>
    <row r="211" spans="2:10" x14ac:dyDescent="0.25">
      <c r="C211">
        <v>9</v>
      </c>
      <c r="D211" t="s">
        <v>127</v>
      </c>
      <c r="E211" t="s">
        <v>145</v>
      </c>
      <c r="F211" t="s">
        <v>114</v>
      </c>
      <c r="G211" t="s">
        <v>115</v>
      </c>
      <c r="H211">
        <v>100</v>
      </c>
      <c r="I211">
        <v>20</v>
      </c>
      <c r="J211" t="s">
        <v>75</v>
      </c>
    </row>
    <row r="213" spans="2:10" ht="15.6" x14ac:dyDescent="0.3">
      <c r="B213" s="3" t="s">
        <v>12</v>
      </c>
      <c r="C213" s="5"/>
      <c r="D213" s="5"/>
      <c r="E213" s="5"/>
      <c r="F213" s="5"/>
      <c r="G213" s="5"/>
      <c r="H213" s="5"/>
      <c r="I213" s="5"/>
    </row>
    <row r="214" spans="2:10" x14ac:dyDescent="0.25">
      <c r="C214" s="16" t="s">
        <v>20</v>
      </c>
      <c r="D214" s="16" t="s">
        <v>148</v>
      </c>
      <c r="E214" s="16" t="s">
        <v>21</v>
      </c>
    </row>
    <row r="215" spans="2:10" x14ac:dyDescent="0.25">
      <c r="C215" s="17" t="s">
        <v>61</v>
      </c>
      <c r="D215" s="17" t="str">
        <f>_xlfn.CONCAT(E215," ",C215)</f>
        <v>Dell Laptop</v>
      </c>
      <c r="E215" s="17" t="s">
        <v>27</v>
      </c>
    </row>
    <row r="216" spans="2:10" x14ac:dyDescent="0.25">
      <c r="C216" s="18" t="s">
        <v>30</v>
      </c>
      <c r="D216" s="17" t="str">
        <f t="shared" ref="D216:D245" si="0">_xlfn.CONCAT(E216," ",C216)</f>
        <v>Nike Sneakers</v>
      </c>
      <c r="E216" s="18" t="s">
        <v>31</v>
      </c>
    </row>
    <row r="217" spans="2:10" x14ac:dyDescent="0.25">
      <c r="C217" s="17" t="s">
        <v>34</v>
      </c>
      <c r="D217" s="17" t="str">
        <f t="shared" si="0"/>
        <v>Keurig Coffee Maker</v>
      </c>
      <c r="E217" s="17" t="s">
        <v>35</v>
      </c>
    </row>
    <row r="218" spans="2:10" x14ac:dyDescent="0.25">
      <c r="C218" s="18" t="s">
        <v>96</v>
      </c>
      <c r="D218" s="17" t="str">
        <f t="shared" si="0"/>
        <v>Samsung Smartphone</v>
      </c>
      <c r="E218" s="18" t="s">
        <v>39</v>
      </c>
    </row>
    <row r="219" spans="2:10" x14ac:dyDescent="0.25">
      <c r="C219" s="17" t="s">
        <v>41</v>
      </c>
      <c r="D219" s="17" t="str">
        <f t="shared" si="0"/>
        <v>North Face Backpack</v>
      </c>
      <c r="E219" s="17" t="s">
        <v>42</v>
      </c>
    </row>
    <row r="220" spans="2:10" x14ac:dyDescent="0.25">
      <c r="C220" s="18" t="s">
        <v>44</v>
      </c>
      <c r="D220" s="17" t="str">
        <f t="shared" si="0"/>
        <v>Sony Headphones</v>
      </c>
      <c r="E220" s="18" t="s">
        <v>45</v>
      </c>
    </row>
    <row r="221" spans="2:10" x14ac:dyDescent="0.25">
      <c r="C221" s="17" t="s">
        <v>128</v>
      </c>
      <c r="D221" s="17" t="str">
        <f t="shared" si="0"/>
        <v>Adidas T-Shirt</v>
      </c>
      <c r="E221" s="17" t="s">
        <v>49</v>
      </c>
    </row>
    <row r="222" spans="2:10" x14ac:dyDescent="0.25">
      <c r="C222" s="18" t="s">
        <v>51</v>
      </c>
      <c r="D222" s="17" t="str">
        <f t="shared" si="0"/>
        <v>Ninja Blender</v>
      </c>
      <c r="E222" s="18" t="s">
        <v>52</v>
      </c>
    </row>
    <row r="223" spans="2:10" x14ac:dyDescent="0.25">
      <c r="C223" s="17" t="s">
        <v>54</v>
      </c>
      <c r="D223" s="17" t="str">
        <f t="shared" si="0"/>
        <v>Apple Tablet</v>
      </c>
      <c r="E223" s="17" t="s">
        <v>55</v>
      </c>
    </row>
    <row r="224" spans="2:10" x14ac:dyDescent="0.25">
      <c r="C224" s="18" t="s">
        <v>57</v>
      </c>
      <c r="D224" s="17" t="str">
        <f t="shared" si="0"/>
        <v>Timberland Hiking Boots</v>
      </c>
      <c r="E224" s="18" t="s">
        <v>58</v>
      </c>
    </row>
    <row r="225" spans="3:5" x14ac:dyDescent="0.25">
      <c r="C225" s="17" t="s">
        <v>61</v>
      </c>
      <c r="D225" s="17" t="str">
        <f t="shared" si="0"/>
        <v>Hp Laptop</v>
      </c>
      <c r="E225" s="17" t="s">
        <v>133</v>
      </c>
    </row>
    <row r="226" spans="3:5" x14ac:dyDescent="0.25">
      <c r="C226" s="18" t="s">
        <v>30</v>
      </c>
      <c r="D226" s="17" t="str">
        <f t="shared" si="0"/>
        <v>Adidas Sneakers</v>
      </c>
      <c r="E226" s="18" t="s">
        <v>49</v>
      </c>
    </row>
    <row r="227" spans="3:5" x14ac:dyDescent="0.25">
      <c r="C227" s="17" t="s">
        <v>34</v>
      </c>
      <c r="D227" s="17" t="str">
        <f t="shared" si="0"/>
        <v>Nespresso Coffee Maker</v>
      </c>
      <c r="E227" s="17" t="s">
        <v>65</v>
      </c>
    </row>
    <row r="228" spans="3:5" x14ac:dyDescent="0.25">
      <c r="C228" s="18" t="s">
        <v>67</v>
      </c>
      <c r="D228" s="17" t="str">
        <f t="shared" si="0"/>
        <v>Fitbit Smartwatch</v>
      </c>
      <c r="E228" s="18" t="s">
        <v>68</v>
      </c>
    </row>
    <row r="229" spans="3:5" x14ac:dyDescent="0.25">
      <c r="C229" s="17" t="s">
        <v>44</v>
      </c>
      <c r="D229" s="17" t="str">
        <f t="shared" si="0"/>
        <v>Bose Headphones</v>
      </c>
      <c r="E229" s="17" t="s">
        <v>71</v>
      </c>
    </row>
    <row r="230" spans="3:5" x14ac:dyDescent="0.25">
      <c r="C230" s="18" t="s">
        <v>73</v>
      </c>
      <c r="D230" s="17" t="str">
        <f t="shared" si="0"/>
        <v>Samsonite Laptop Bag</v>
      </c>
      <c r="E230" s="18" t="s">
        <v>74</v>
      </c>
    </row>
    <row r="231" spans="3:5" x14ac:dyDescent="0.25">
      <c r="C231" s="17" t="s">
        <v>67</v>
      </c>
      <c r="D231" s="17" t="str">
        <f t="shared" si="0"/>
        <v>Huawei Smartwatch</v>
      </c>
      <c r="E231" s="17" t="s">
        <v>77</v>
      </c>
    </row>
    <row r="232" spans="3:5" x14ac:dyDescent="0.25">
      <c r="C232" s="18" t="s">
        <v>61</v>
      </c>
      <c r="D232" s="17" t="str">
        <f t="shared" si="0"/>
        <v>Asus Laptop</v>
      </c>
      <c r="E232" s="18" t="s">
        <v>79</v>
      </c>
    </row>
    <row r="233" spans="3:5" x14ac:dyDescent="0.25">
      <c r="C233" s="17" t="s">
        <v>81</v>
      </c>
      <c r="D233" s="17" t="str">
        <f t="shared" si="0"/>
        <v>Oakley Sunglasses</v>
      </c>
      <c r="E233" s="17" t="s">
        <v>82</v>
      </c>
    </row>
    <row r="234" spans="3:5" x14ac:dyDescent="0.25">
      <c r="C234" s="18" t="s">
        <v>84</v>
      </c>
      <c r="D234" s="17" t="str">
        <f t="shared" si="0"/>
        <v>Coleman Camping Tent</v>
      </c>
      <c r="E234" s="18" t="s">
        <v>85</v>
      </c>
    </row>
    <row r="235" spans="3:5" x14ac:dyDescent="0.25">
      <c r="C235" s="17" t="s">
        <v>87</v>
      </c>
      <c r="D235" s="17" t="str">
        <f t="shared" si="0"/>
        <v>Nikon Camera</v>
      </c>
      <c r="E235" s="17" t="s">
        <v>88</v>
      </c>
    </row>
    <row r="236" spans="3:5" x14ac:dyDescent="0.25">
      <c r="C236" s="18" t="s">
        <v>90</v>
      </c>
      <c r="D236" s="17" t="str">
        <f t="shared" si="0"/>
        <v>Panasonic Microwave</v>
      </c>
      <c r="E236" s="18" t="s">
        <v>91</v>
      </c>
    </row>
    <row r="237" spans="3:5" x14ac:dyDescent="0.25">
      <c r="C237" s="17" t="s">
        <v>93</v>
      </c>
      <c r="D237" s="17" t="str">
        <f t="shared" si="0"/>
        <v>Xiaomi Fitness Tracker</v>
      </c>
      <c r="E237" s="17" t="s">
        <v>94</v>
      </c>
    </row>
    <row r="238" spans="3:5" x14ac:dyDescent="0.25">
      <c r="C238" s="18" t="s">
        <v>96</v>
      </c>
      <c r="D238" s="17" t="str">
        <f t="shared" si="0"/>
        <v>Google Smartphone</v>
      </c>
      <c r="E238" s="18" t="s">
        <v>97</v>
      </c>
    </row>
    <row r="239" spans="3:5" x14ac:dyDescent="0.25">
      <c r="C239" s="17" t="s">
        <v>81</v>
      </c>
      <c r="D239" s="17" t="str">
        <f t="shared" si="0"/>
        <v>Ray-Ban Sunglasses</v>
      </c>
      <c r="E239" s="17" t="s">
        <v>99</v>
      </c>
    </row>
    <row r="240" spans="3:5" x14ac:dyDescent="0.25">
      <c r="C240" s="18" t="s">
        <v>51</v>
      </c>
      <c r="D240" s="17" t="str">
        <f t="shared" si="0"/>
        <v>Vitamix Blender</v>
      </c>
      <c r="E240" s="18" t="s">
        <v>101</v>
      </c>
    </row>
    <row r="241" spans="2:7" x14ac:dyDescent="0.25">
      <c r="C241" s="17" t="s">
        <v>103</v>
      </c>
      <c r="D241" s="17" t="str">
        <f t="shared" si="0"/>
        <v>Zara Dress</v>
      </c>
      <c r="E241" s="17" t="s">
        <v>104</v>
      </c>
    </row>
    <row r="242" spans="2:7" x14ac:dyDescent="0.25">
      <c r="C242" s="18" t="s">
        <v>106</v>
      </c>
      <c r="D242" s="17" t="str">
        <f t="shared" si="0"/>
        <v>Hamilton Toaster</v>
      </c>
      <c r="E242" s="18" t="s">
        <v>107</v>
      </c>
    </row>
    <row r="243" spans="2:7" x14ac:dyDescent="0.25">
      <c r="C243" s="17" t="s">
        <v>93</v>
      </c>
      <c r="D243" s="17" t="str">
        <f t="shared" si="0"/>
        <v>Garmin Fitness Tracker</v>
      </c>
      <c r="E243" s="17" t="s">
        <v>109</v>
      </c>
    </row>
    <row r="244" spans="2:7" x14ac:dyDescent="0.25">
      <c r="C244" s="18" t="s">
        <v>111</v>
      </c>
      <c r="D244" s="17" t="str">
        <f t="shared" si="0"/>
        <v>Levi'S Jeans</v>
      </c>
      <c r="E244" s="18" t="s">
        <v>144</v>
      </c>
    </row>
    <row r="245" spans="2:7" x14ac:dyDescent="0.25">
      <c r="C245" s="17" t="s">
        <v>114</v>
      </c>
      <c r="D245" s="17" t="str">
        <f t="shared" si="0"/>
        <v>Casio Watch</v>
      </c>
      <c r="E245" s="17" t="s">
        <v>115</v>
      </c>
    </row>
    <row r="247" spans="2:7" ht="15.6" x14ac:dyDescent="0.3">
      <c r="B247" s="2" t="s">
        <v>13</v>
      </c>
      <c r="C247" s="5"/>
      <c r="D247" s="5"/>
      <c r="E247" s="5"/>
      <c r="F247" s="5"/>
      <c r="G247" s="5"/>
    </row>
    <row r="248" spans="2:7" ht="15.6" x14ac:dyDescent="0.3">
      <c r="B248" s="5"/>
      <c r="C248" s="3" t="s">
        <v>14</v>
      </c>
      <c r="D248" s="5"/>
      <c r="E248" s="5"/>
      <c r="F248" s="5"/>
      <c r="G248" s="5"/>
    </row>
    <row r="249" spans="2:7" x14ac:dyDescent="0.25">
      <c r="C249" s="20" t="s">
        <v>22</v>
      </c>
    </row>
    <row r="250" spans="2:7" x14ac:dyDescent="0.25">
      <c r="C250" s="21">
        <v>1000</v>
      </c>
    </row>
    <row r="251" spans="2:7" x14ac:dyDescent="0.25">
      <c r="C251" s="22">
        <v>80</v>
      </c>
    </row>
    <row r="252" spans="2:7" x14ac:dyDescent="0.25">
      <c r="C252" s="21">
        <v>130</v>
      </c>
    </row>
    <row r="253" spans="2:7" x14ac:dyDescent="0.25">
      <c r="C253" s="22">
        <v>900</v>
      </c>
    </row>
    <row r="254" spans="2:7" x14ac:dyDescent="0.25">
      <c r="C254" s="21">
        <v>70</v>
      </c>
    </row>
    <row r="255" spans="2:7" x14ac:dyDescent="0.25">
      <c r="C255" s="22">
        <v>130</v>
      </c>
    </row>
    <row r="256" spans="2:7" x14ac:dyDescent="0.25">
      <c r="C256" s="21">
        <v>30</v>
      </c>
    </row>
    <row r="257" spans="3:3" x14ac:dyDescent="0.25">
      <c r="C257" s="22">
        <v>90</v>
      </c>
    </row>
    <row r="258" spans="3:3" x14ac:dyDescent="0.25">
      <c r="C258" s="21">
        <v>500</v>
      </c>
    </row>
    <row r="259" spans="3:3" x14ac:dyDescent="0.25">
      <c r="C259" s="22">
        <v>130</v>
      </c>
    </row>
    <row r="260" spans="3:3" x14ac:dyDescent="0.25">
      <c r="C260" s="21">
        <v>950</v>
      </c>
    </row>
    <row r="261" spans="3:3" x14ac:dyDescent="0.25">
      <c r="C261" s="22">
        <v>90</v>
      </c>
    </row>
    <row r="262" spans="3:3" x14ac:dyDescent="0.25">
      <c r="C262" s="21">
        <v>120</v>
      </c>
    </row>
    <row r="263" spans="3:3" x14ac:dyDescent="0.25">
      <c r="C263" s="22">
        <v>150</v>
      </c>
    </row>
    <row r="264" spans="3:3" x14ac:dyDescent="0.25">
      <c r="C264" s="21">
        <v>250</v>
      </c>
    </row>
    <row r="265" spans="3:3" x14ac:dyDescent="0.25">
      <c r="C265" s="22">
        <v>50</v>
      </c>
    </row>
    <row r="266" spans="3:3" x14ac:dyDescent="0.25">
      <c r="C266" s="21">
        <v>160</v>
      </c>
    </row>
    <row r="267" spans="3:3" x14ac:dyDescent="0.25">
      <c r="C267" s="22">
        <v>980</v>
      </c>
    </row>
    <row r="268" spans="3:3" x14ac:dyDescent="0.25">
      <c r="C268" s="21">
        <v>150</v>
      </c>
    </row>
    <row r="269" spans="3:3" x14ac:dyDescent="0.25">
      <c r="C269" s="22">
        <v>130</v>
      </c>
    </row>
    <row r="270" spans="3:3" x14ac:dyDescent="0.25">
      <c r="C270" s="21">
        <v>700</v>
      </c>
    </row>
    <row r="271" spans="3:3" x14ac:dyDescent="0.25">
      <c r="C271" s="22">
        <v>80</v>
      </c>
    </row>
    <row r="272" spans="3:3" x14ac:dyDescent="0.25">
      <c r="C272" s="21">
        <v>150</v>
      </c>
    </row>
    <row r="273" spans="2:9" x14ac:dyDescent="0.25">
      <c r="C273" s="22">
        <v>800</v>
      </c>
    </row>
    <row r="274" spans="2:9" x14ac:dyDescent="0.25">
      <c r="C274" s="21">
        <v>130</v>
      </c>
    </row>
    <row r="275" spans="2:9" x14ac:dyDescent="0.25">
      <c r="C275" s="22">
        <v>400</v>
      </c>
    </row>
    <row r="276" spans="2:9" x14ac:dyDescent="0.25">
      <c r="C276" s="21">
        <v>60</v>
      </c>
    </row>
    <row r="277" spans="2:9" x14ac:dyDescent="0.25">
      <c r="C277" s="22">
        <v>40</v>
      </c>
    </row>
    <row r="278" spans="2:9" x14ac:dyDescent="0.25">
      <c r="C278" s="21">
        <v>130</v>
      </c>
    </row>
    <row r="279" spans="2:9" x14ac:dyDescent="0.25">
      <c r="C279" s="22">
        <v>50</v>
      </c>
    </row>
    <row r="280" spans="2:9" x14ac:dyDescent="0.25">
      <c r="C280" s="21">
        <v>100</v>
      </c>
    </row>
    <row r="281" spans="2:9" ht="15.6" x14ac:dyDescent="0.3">
      <c r="B281" s="5"/>
      <c r="C281" s="23" t="s">
        <v>15</v>
      </c>
      <c r="D281" s="5"/>
      <c r="E281" s="5"/>
      <c r="F281" s="5"/>
      <c r="G281" s="5"/>
      <c r="H281" s="5"/>
      <c r="I281" s="5"/>
    </row>
    <row r="283" spans="2:9" x14ac:dyDescent="0.25">
      <c r="C283" s="24" t="s">
        <v>151</v>
      </c>
      <c r="D283" s="24" t="s">
        <v>149</v>
      </c>
      <c r="E283" s="24" t="s">
        <v>146</v>
      </c>
      <c r="F283" s="25" t="s">
        <v>152</v>
      </c>
      <c r="G283" s="25" t="s">
        <v>150</v>
      </c>
    </row>
    <row r="284" spans="2:9" x14ac:dyDescent="0.25">
      <c r="C284" s="26">
        <v>28</v>
      </c>
      <c r="D284" s="26">
        <v>2026</v>
      </c>
      <c r="E284" s="26" t="s">
        <v>119</v>
      </c>
      <c r="F284" s="27" t="str">
        <f>_xlfn.CONCAT(C284,"/",E284,"/",D284)</f>
        <v>28/JAN/2026</v>
      </c>
      <c r="G284" s="9" t="str">
        <f>TEXT(F284,"dd-mm-yyyy")</f>
        <v>28-01-2026</v>
      </c>
    </row>
    <row r="285" spans="2:9" x14ac:dyDescent="0.25">
      <c r="C285" s="28">
        <v>15</v>
      </c>
      <c r="D285" s="28">
        <v>2026</v>
      </c>
      <c r="E285" s="28" t="s">
        <v>121</v>
      </c>
      <c r="F285" s="27" t="str">
        <f t="shared" ref="F285:F314" si="1">_xlfn.CONCAT(C285,"/",E285,"/",D285)</f>
        <v>15/FEB/2026</v>
      </c>
      <c r="G285" s="9" t="str">
        <f t="shared" ref="G285:G314" si="2">TEXT(F285,"dd-mm-yyyy")</f>
        <v>15-02-2026</v>
      </c>
    </row>
    <row r="286" spans="2:9" x14ac:dyDescent="0.25">
      <c r="C286" s="26">
        <v>3</v>
      </c>
      <c r="D286" s="26">
        <v>2026</v>
      </c>
      <c r="E286" s="26" t="s">
        <v>122</v>
      </c>
      <c r="F286" s="27" t="str">
        <f t="shared" si="1"/>
        <v>3/MAR/2026</v>
      </c>
      <c r="G286" s="9" t="str">
        <f t="shared" si="2"/>
        <v>03-03-2026</v>
      </c>
    </row>
    <row r="287" spans="2:9" x14ac:dyDescent="0.25">
      <c r="C287" s="28">
        <v>11</v>
      </c>
      <c r="D287" s="26">
        <v>2026</v>
      </c>
      <c r="E287" s="28" t="s">
        <v>123</v>
      </c>
      <c r="F287" s="27" t="str">
        <f t="shared" si="1"/>
        <v>11/APR/2026</v>
      </c>
      <c r="G287" s="9" t="str">
        <f t="shared" si="2"/>
        <v>11-04-2026</v>
      </c>
    </row>
    <row r="288" spans="2:9" x14ac:dyDescent="0.25">
      <c r="C288" s="26">
        <v>22</v>
      </c>
      <c r="D288" s="28">
        <v>2026</v>
      </c>
      <c r="E288" s="26" t="s">
        <v>124</v>
      </c>
      <c r="F288" s="27" t="str">
        <f t="shared" si="1"/>
        <v>22/MAY/2026</v>
      </c>
      <c r="G288" s="9" t="str">
        <f t="shared" si="2"/>
        <v>22-05-2026</v>
      </c>
    </row>
    <row r="289" spans="3:7" x14ac:dyDescent="0.25">
      <c r="C289" s="28">
        <v>7</v>
      </c>
      <c r="D289" s="26">
        <v>2026</v>
      </c>
      <c r="E289" s="28" t="s">
        <v>125</v>
      </c>
      <c r="F289" s="27" t="str">
        <f t="shared" si="1"/>
        <v>7/JUN/2026</v>
      </c>
      <c r="G289" s="9" t="str">
        <f t="shared" si="2"/>
        <v>07-06-2026</v>
      </c>
    </row>
    <row r="290" spans="3:7" x14ac:dyDescent="0.25">
      <c r="C290" s="26">
        <v>19</v>
      </c>
      <c r="D290" s="26">
        <v>2026</v>
      </c>
      <c r="E290" s="26" t="s">
        <v>127</v>
      </c>
      <c r="F290" s="27" t="str">
        <f t="shared" si="1"/>
        <v>19/JUL/2026</v>
      </c>
      <c r="G290" s="9" t="str">
        <f t="shared" si="2"/>
        <v>19-07-2026</v>
      </c>
    </row>
    <row r="291" spans="3:7" x14ac:dyDescent="0.25">
      <c r="C291" s="28">
        <v>23</v>
      </c>
      <c r="D291" s="28">
        <v>2026</v>
      </c>
      <c r="E291" s="28" t="s">
        <v>129</v>
      </c>
      <c r="F291" s="27" t="str">
        <f t="shared" si="1"/>
        <v>23/AUG/2026</v>
      </c>
      <c r="G291" s="9" t="str">
        <f t="shared" si="2"/>
        <v>23-08-2026</v>
      </c>
    </row>
    <row r="292" spans="3:7" x14ac:dyDescent="0.25">
      <c r="C292" s="26">
        <v>5</v>
      </c>
      <c r="D292" s="26">
        <v>2026</v>
      </c>
      <c r="E292" s="26" t="s">
        <v>130</v>
      </c>
      <c r="F292" s="27" t="str">
        <f t="shared" si="1"/>
        <v>5/SEP/2026</v>
      </c>
      <c r="G292" s="9" t="str">
        <f t="shared" si="2"/>
        <v>05-09-2026</v>
      </c>
    </row>
    <row r="293" spans="3:7" x14ac:dyDescent="0.25">
      <c r="C293" s="28">
        <v>14</v>
      </c>
      <c r="D293" s="26">
        <v>2026</v>
      </c>
      <c r="E293" s="28" t="s">
        <v>131</v>
      </c>
      <c r="F293" s="27" t="str">
        <f t="shared" si="1"/>
        <v>14/OCT/2026</v>
      </c>
      <c r="G293" s="9" t="str">
        <f t="shared" si="2"/>
        <v>14-10-2026</v>
      </c>
    </row>
    <row r="294" spans="3:7" x14ac:dyDescent="0.25">
      <c r="C294" s="26">
        <v>17</v>
      </c>
      <c r="D294" s="28">
        <v>2026</v>
      </c>
      <c r="E294" s="26" t="s">
        <v>125</v>
      </c>
      <c r="F294" s="27" t="str">
        <f t="shared" si="1"/>
        <v>17/JUN/2026</v>
      </c>
      <c r="G294" s="9" t="str">
        <f t="shared" si="2"/>
        <v>17-06-2026</v>
      </c>
    </row>
    <row r="295" spans="3:7" x14ac:dyDescent="0.25">
      <c r="C295" s="28">
        <v>25</v>
      </c>
      <c r="D295" s="26">
        <v>2026</v>
      </c>
      <c r="E295" s="28" t="s">
        <v>134</v>
      </c>
      <c r="F295" s="27" t="str">
        <f t="shared" si="1"/>
        <v>25/NOV/2026</v>
      </c>
      <c r="G295" s="9" t="str">
        <f t="shared" si="2"/>
        <v>25-11-2026</v>
      </c>
    </row>
    <row r="296" spans="3:7" x14ac:dyDescent="0.25">
      <c r="C296" s="26">
        <v>8</v>
      </c>
      <c r="D296" s="26">
        <v>2026</v>
      </c>
      <c r="E296" s="26" t="s">
        <v>136</v>
      </c>
      <c r="F296" s="27" t="str">
        <f t="shared" si="1"/>
        <v>8/DEC/2026</v>
      </c>
      <c r="G296" s="9" t="str">
        <f t="shared" si="2"/>
        <v>08-12-2026</v>
      </c>
    </row>
    <row r="297" spans="3:7" x14ac:dyDescent="0.25">
      <c r="C297" s="28">
        <v>18</v>
      </c>
      <c r="D297" s="28">
        <v>2026</v>
      </c>
      <c r="E297" s="28" t="s">
        <v>121</v>
      </c>
      <c r="F297" s="27" t="str">
        <f t="shared" si="1"/>
        <v>18/FEB/2026</v>
      </c>
      <c r="G297" s="9" t="str">
        <f t="shared" si="2"/>
        <v>18-02-2026</v>
      </c>
    </row>
    <row r="298" spans="3:7" x14ac:dyDescent="0.25">
      <c r="C298" s="26">
        <v>16</v>
      </c>
      <c r="D298" s="26">
        <v>2026</v>
      </c>
      <c r="E298" s="26" t="s">
        <v>123</v>
      </c>
      <c r="F298" s="27" t="str">
        <f t="shared" si="1"/>
        <v>16/APR/2026</v>
      </c>
      <c r="G298" s="9" t="str">
        <f t="shared" si="2"/>
        <v>16-04-2026</v>
      </c>
    </row>
    <row r="299" spans="3:7" x14ac:dyDescent="0.25">
      <c r="C299" s="28">
        <v>21</v>
      </c>
      <c r="D299" s="26">
        <v>2026</v>
      </c>
      <c r="E299" s="28" t="s">
        <v>129</v>
      </c>
      <c r="F299" s="27" t="str">
        <f t="shared" si="1"/>
        <v>21/AUG/2026</v>
      </c>
      <c r="G299" s="9" t="str">
        <f t="shared" si="2"/>
        <v>21-08-2026</v>
      </c>
    </row>
    <row r="300" spans="3:7" x14ac:dyDescent="0.25">
      <c r="C300" s="26">
        <v>20</v>
      </c>
      <c r="D300" s="28">
        <v>2026</v>
      </c>
      <c r="E300" s="26" t="s">
        <v>129</v>
      </c>
      <c r="F300" s="27" t="str">
        <f t="shared" si="1"/>
        <v>20/AUG/2026</v>
      </c>
      <c r="G300" s="9" t="str">
        <f t="shared" si="2"/>
        <v>20-08-2026</v>
      </c>
    </row>
    <row r="301" spans="3:7" x14ac:dyDescent="0.25">
      <c r="C301" s="28">
        <v>27</v>
      </c>
      <c r="D301" s="26">
        <v>2026</v>
      </c>
      <c r="E301" s="28" t="s">
        <v>119</v>
      </c>
      <c r="F301" s="27" t="str">
        <f t="shared" si="1"/>
        <v>27/JAN/2026</v>
      </c>
      <c r="G301" s="9" t="str">
        <f t="shared" si="2"/>
        <v>27-01-2026</v>
      </c>
    </row>
    <row r="302" spans="3:7" x14ac:dyDescent="0.25">
      <c r="C302" s="26">
        <v>1</v>
      </c>
      <c r="D302" s="26">
        <v>2026</v>
      </c>
      <c r="E302" s="26" t="s">
        <v>122</v>
      </c>
      <c r="F302" s="27" t="str">
        <f t="shared" si="1"/>
        <v>1/MAR/2026</v>
      </c>
      <c r="G302" s="9" t="str">
        <f t="shared" si="2"/>
        <v>01-03-2026</v>
      </c>
    </row>
    <row r="303" spans="3:7" x14ac:dyDescent="0.25">
      <c r="C303" s="28">
        <v>14</v>
      </c>
      <c r="D303" s="28">
        <v>2026</v>
      </c>
      <c r="E303" s="28" t="s">
        <v>129</v>
      </c>
      <c r="F303" s="27" t="str">
        <f t="shared" si="1"/>
        <v>14/AUG/2026</v>
      </c>
      <c r="G303" s="9" t="str">
        <f t="shared" si="2"/>
        <v>14-08-2026</v>
      </c>
    </row>
    <row r="304" spans="3:7" x14ac:dyDescent="0.25">
      <c r="C304" s="26">
        <v>14</v>
      </c>
      <c r="D304" s="26">
        <v>2026</v>
      </c>
      <c r="E304" s="26" t="s">
        <v>124</v>
      </c>
      <c r="F304" s="27" t="str">
        <f t="shared" si="1"/>
        <v>14/MAY/2026</v>
      </c>
      <c r="G304" s="9" t="str">
        <f t="shared" si="2"/>
        <v>14-05-2026</v>
      </c>
    </row>
    <row r="305" spans="2:9" x14ac:dyDescent="0.25">
      <c r="C305" s="28">
        <v>9</v>
      </c>
      <c r="D305" s="26">
        <v>2026</v>
      </c>
      <c r="E305" s="28" t="s">
        <v>119</v>
      </c>
      <c r="F305" s="27" t="str">
        <f t="shared" si="1"/>
        <v>9/JAN/2026</v>
      </c>
      <c r="G305" s="9" t="str">
        <f t="shared" si="2"/>
        <v>09-01-2026</v>
      </c>
    </row>
    <row r="306" spans="2:9" x14ac:dyDescent="0.25">
      <c r="C306" s="26">
        <v>19</v>
      </c>
      <c r="D306" s="28">
        <v>2026</v>
      </c>
      <c r="E306" s="26" t="s">
        <v>127</v>
      </c>
      <c r="F306" s="27" t="str">
        <f t="shared" si="1"/>
        <v>19/JUL/2026</v>
      </c>
      <c r="G306" s="9" t="str">
        <f t="shared" si="2"/>
        <v>19-07-2026</v>
      </c>
    </row>
    <row r="307" spans="2:9" x14ac:dyDescent="0.25">
      <c r="C307" s="28">
        <v>29</v>
      </c>
      <c r="D307" s="26">
        <v>2026</v>
      </c>
      <c r="E307" s="28" t="s">
        <v>130</v>
      </c>
      <c r="F307" s="27" t="str">
        <f t="shared" si="1"/>
        <v>29/SEP/2026</v>
      </c>
      <c r="G307" s="9" t="str">
        <f t="shared" si="2"/>
        <v>29-09-2026</v>
      </c>
    </row>
    <row r="308" spans="2:9" x14ac:dyDescent="0.25">
      <c r="C308" s="26">
        <v>3</v>
      </c>
      <c r="D308" s="26">
        <v>2026</v>
      </c>
      <c r="E308" s="26" t="s">
        <v>125</v>
      </c>
      <c r="F308" s="27" t="str">
        <f t="shared" si="1"/>
        <v>3/JUN/2026</v>
      </c>
      <c r="G308" s="9" t="str">
        <f t="shared" si="2"/>
        <v>03-06-2026</v>
      </c>
    </row>
    <row r="309" spans="2:9" x14ac:dyDescent="0.25">
      <c r="C309" s="28">
        <v>11</v>
      </c>
      <c r="D309" s="28">
        <v>2026</v>
      </c>
      <c r="E309" s="28" t="s">
        <v>127</v>
      </c>
      <c r="F309" s="27" t="str">
        <f t="shared" si="1"/>
        <v>11/JUL/2026</v>
      </c>
      <c r="G309" s="9" t="str">
        <f t="shared" si="2"/>
        <v>11-07-2026</v>
      </c>
    </row>
    <row r="310" spans="2:9" x14ac:dyDescent="0.25">
      <c r="C310" s="26">
        <v>7</v>
      </c>
      <c r="D310" s="26">
        <v>2026</v>
      </c>
      <c r="E310" s="26" t="s">
        <v>122</v>
      </c>
      <c r="F310" s="27" t="str">
        <f t="shared" si="1"/>
        <v>7/MAR/2026</v>
      </c>
      <c r="G310" s="9" t="str">
        <f t="shared" si="2"/>
        <v>07-03-2026</v>
      </c>
    </row>
    <row r="311" spans="2:9" x14ac:dyDescent="0.25">
      <c r="C311" s="28">
        <v>13</v>
      </c>
      <c r="D311" s="26">
        <v>2026</v>
      </c>
      <c r="E311" s="28" t="s">
        <v>123</v>
      </c>
      <c r="F311" s="27" t="str">
        <f t="shared" si="1"/>
        <v>13/APR/2026</v>
      </c>
      <c r="G311" s="9" t="str">
        <f t="shared" si="2"/>
        <v>13-04-2026</v>
      </c>
    </row>
    <row r="312" spans="2:9" x14ac:dyDescent="0.25">
      <c r="C312" s="26">
        <v>24</v>
      </c>
      <c r="D312" s="28">
        <v>2026</v>
      </c>
      <c r="E312" s="26" t="s">
        <v>124</v>
      </c>
      <c r="F312" s="27" t="str">
        <f t="shared" si="1"/>
        <v>24/MAY/2026</v>
      </c>
      <c r="G312" s="9" t="str">
        <f t="shared" si="2"/>
        <v>24-05-2026</v>
      </c>
    </row>
    <row r="313" spans="2:9" x14ac:dyDescent="0.25">
      <c r="C313" s="28">
        <v>2</v>
      </c>
      <c r="D313" s="26">
        <v>2026</v>
      </c>
      <c r="E313" s="28" t="s">
        <v>136</v>
      </c>
      <c r="F313" s="27" t="str">
        <f t="shared" si="1"/>
        <v>2/DEC/2026</v>
      </c>
      <c r="G313" s="9" t="str">
        <f t="shared" si="2"/>
        <v>02-12-2026</v>
      </c>
    </row>
    <row r="314" spans="2:9" x14ac:dyDescent="0.25">
      <c r="C314" s="26">
        <v>9</v>
      </c>
      <c r="D314" s="26">
        <v>2026</v>
      </c>
      <c r="E314" s="26" t="s">
        <v>127</v>
      </c>
      <c r="F314" s="27" t="str">
        <f t="shared" si="1"/>
        <v>9/JUL/2026</v>
      </c>
      <c r="G314" s="9" t="str">
        <f t="shared" si="2"/>
        <v>09-07-2026</v>
      </c>
    </row>
    <row r="316" spans="2:9" ht="15.6" x14ac:dyDescent="0.3">
      <c r="B316" s="2" t="s">
        <v>16</v>
      </c>
      <c r="C316" s="5"/>
      <c r="D316" s="5"/>
      <c r="E316" s="5"/>
      <c r="F316" s="5"/>
      <c r="G316" s="5"/>
      <c r="H316" s="5"/>
      <c r="I316" s="5"/>
    </row>
    <row r="317" spans="2:9" ht="15.6" x14ac:dyDescent="0.3">
      <c r="B317" s="5"/>
      <c r="C317" s="3" t="s">
        <v>17</v>
      </c>
      <c r="D317" s="5"/>
      <c r="E317" s="5"/>
      <c r="F317" s="5"/>
      <c r="G317" s="5"/>
      <c r="H317" s="5"/>
      <c r="I317" s="5"/>
    </row>
    <row r="318" spans="2:9" x14ac:dyDescent="0.25">
      <c r="C318" s="16" t="s">
        <v>22</v>
      </c>
    </row>
    <row r="319" spans="2:9" x14ac:dyDescent="0.25">
      <c r="C319" s="17">
        <v>1000</v>
      </c>
    </row>
    <row r="320" spans="2:9" x14ac:dyDescent="0.25">
      <c r="C320" s="18">
        <v>80</v>
      </c>
    </row>
    <row r="321" spans="3:3" x14ac:dyDescent="0.25">
      <c r="C321" s="17">
        <v>130</v>
      </c>
    </row>
    <row r="322" spans="3:3" x14ac:dyDescent="0.25">
      <c r="C322" s="18">
        <v>900</v>
      </c>
    </row>
    <row r="323" spans="3:3" x14ac:dyDescent="0.25">
      <c r="C323" s="17">
        <v>70</v>
      </c>
    </row>
    <row r="324" spans="3:3" x14ac:dyDescent="0.25">
      <c r="C324" s="18">
        <v>130</v>
      </c>
    </row>
    <row r="325" spans="3:3" x14ac:dyDescent="0.25">
      <c r="C325" s="17">
        <v>30</v>
      </c>
    </row>
    <row r="326" spans="3:3" x14ac:dyDescent="0.25">
      <c r="C326" s="18">
        <v>90</v>
      </c>
    </row>
    <row r="327" spans="3:3" x14ac:dyDescent="0.25">
      <c r="C327" s="17">
        <v>500</v>
      </c>
    </row>
    <row r="328" spans="3:3" x14ac:dyDescent="0.25">
      <c r="C328" s="18">
        <v>130</v>
      </c>
    </row>
    <row r="329" spans="3:3" x14ac:dyDescent="0.25">
      <c r="C329" s="17">
        <v>950</v>
      </c>
    </row>
    <row r="330" spans="3:3" x14ac:dyDescent="0.25">
      <c r="C330" s="18">
        <v>90</v>
      </c>
    </row>
    <row r="331" spans="3:3" x14ac:dyDescent="0.25">
      <c r="C331" s="17">
        <v>120</v>
      </c>
    </row>
    <row r="332" spans="3:3" x14ac:dyDescent="0.25">
      <c r="C332" s="18">
        <v>150</v>
      </c>
    </row>
    <row r="333" spans="3:3" x14ac:dyDescent="0.25">
      <c r="C333" s="17">
        <v>250</v>
      </c>
    </row>
    <row r="334" spans="3:3" x14ac:dyDescent="0.25">
      <c r="C334" s="18">
        <v>50</v>
      </c>
    </row>
    <row r="335" spans="3:3" x14ac:dyDescent="0.25">
      <c r="C335" s="17">
        <v>160</v>
      </c>
    </row>
    <row r="336" spans="3:3" x14ac:dyDescent="0.25">
      <c r="C336" s="18">
        <v>980</v>
      </c>
    </row>
    <row r="337" spans="2:10" x14ac:dyDescent="0.25">
      <c r="C337" s="17">
        <v>150</v>
      </c>
    </row>
    <row r="338" spans="2:10" x14ac:dyDescent="0.25">
      <c r="C338" s="18">
        <v>130</v>
      </c>
    </row>
    <row r="339" spans="2:10" x14ac:dyDescent="0.25">
      <c r="C339" s="17">
        <v>700</v>
      </c>
    </row>
    <row r="340" spans="2:10" x14ac:dyDescent="0.25">
      <c r="C340" s="18">
        <v>80</v>
      </c>
    </row>
    <row r="341" spans="2:10" x14ac:dyDescent="0.25">
      <c r="C341" s="17">
        <v>150</v>
      </c>
    </row>
    <row r="342" spans="2:10" x14ac:dyDescent="0.25">
      <c r="C342" s="18">
        <v>800</v>
      </c>
    </row>
    <row r="343" spans="2:10" x14ac:dyDescent="0.25">
      <c r="C343" s="17">
        <v>130</v>
      </c>
    </row>
    <row r="344" spans="2:10" x14ac:dyDescent="0.25">
      <c r="C344" s="18">
        <v>400</v>
      </c>
    </row>
    <row r="345" spans="2:10" x14ac:dyDescent="0.25">
      <c r="C345" s="17">
        <v>60</v>
      </c>
    </row>
    <row r="346" spans="2:10" x14ac:dyDescent="0.25">
      <c r="C346" s="18">
        <v>40</v>
      </c>
    </row>
    <row r="347" spans="2:10" x14ac:dyDescent="0.25">
      <c r="C347" s="17">
        <v>130</v>
      </c>
    </row>
    <row r="348" spans="2:10" x14ac:dyDescent="0.25">
      <c r="C348" s="18">
        <v>50</v>
      </c>
    </row>
    <row r="349" spans="2:10" x14ac:dyDescent="0.25">
      <c r="C349" s="17">
        <v>100</v>
      </c>
    </row>
    <row r="351" spans="2:10" ht="15.6" x14ac:dyDescent="0.3">
      <c r="B351" s="3" t="s">
        <v>18</v>
      </c>
      <c r="C351" s="5"/>
      <c r="D351" s="5"/>
      <c r="E351" s="5"/>
      <c r="F351" s="5"/>
      <c r="G351" s="5"/>
      <c r="H351" s="5"/>
      <c r="I351" s="5"/>
      <c r="J351" s="5"/>
    </row>
    <row r="353" spans="3:3" x14ac:dyDescent="0.25">
      <c r="C353" s="29" t="s">
        <v>153</v>
      </c>
    </row>
    <row r="354" spans="3:3" x14ac:dyDescent="0.25">
      <c r="C354" s="30" t="s">
        <v>28</v>
      </c>
    </row>
    <row r="355" spans="3:3" x14ac:dyDescent="0.25">
      <c r="C355" s="31" t="s">
        <v>32</v>
      </c>
    </row>
    <row r="356" spans="3:3" x14ac:dyDescent="0.25">
      <c r="C356" s="30" t="s">
        <v>36</v>
      </c>
    </row>
    <row r="357" spans="3:3" x14ac:dyDescent="0.25">
      <c r="C357" s="31" t="s">
        <v>28</v>
      </c>
    </row>
    <row r="358" spans="3:3" x14ac:dyDescent="0.25">
      <c r="C358" s="30" t="s">
        <v>59</v>
      </c>
    </row>
    <row r="359" spans="3:3" x14ac:dyDescent="0.25">
      <c r="C359" s="31" t="s">
        <v>28</v>
      </c>
    </row>
    <row r="360" spans="3:3" x14ac:dyDescent="0.25">
      <c r="C360" s="30" t="s">
        <v>32</v>
      </c>
    </row>
    <row r="361" spans="3:3" x14ac:dyDescent="0.25">
      <c r="C361" s="31" t="s">
        <v>36</v>
      </c>
    </row>
    <row r="362" spans="3:3" x14ac:dyDescent="0.25">
      <c r="C362" s="30" t="s">
        <v>28</v>
      </c>
    </row>
    <row r="363" spans="3:3" x14ac:dyDescent="0.25">
      <c r="C363" s="31" t="s">
        <v>59</v>
      </c>
    </row>
    <row r="364" spans="3:3" x14ac:dyDescent="0.25">
      <c r="C364" s="30" t="s">
        <v>28</v>
      </c>
    </row>
    <row r="365" spans="3:3" x14ac:dyDescent="0.25">
      <c r="C365" s="31" t="s">
        <v>32</v>
      </c>
    </row>
    <row r="366" spans="3:3" x14ac:dyDescent="0.25">
      <c r="C366" s="30" t="s">
        <v>36</v>
      </c>
    </row>
    <row r="367" spans="3:3" x14ac:dyDescent="0.25">
      <c r="C367" s="31" t="s">
        <v>28</v>
      </c>
    </row>
    <row r="368" spans="3:3" x14ac:dyDescent="0.25">
      <c r="C368" s="30" t="s">
        <v>28</v>
      </c>
    </row>
    <row r="369" spans="3:3" x14ac:dyDescent="0.25">
      <c r="C369" s="31" t="s">
        <v>75</v>
      </c>
    </row>
    <row r="370" spans="3:3" x14ac:dyDescent="0.25">
      <c r="C370" s="30" t="s">
        <v>28</v>
      </c>
    </row>
    <row r="371" spans="3:3" x14ac:dyDescent="0.25">
      <c r="C371" s="31" t="s">
        <v>28</v>
      </c>
    </row>
    <row r="372" spans="3:3" x14ac:dyDescent="0.25">
      <c r="C372" s="30" t="s">
        <v>32</v>
      </c>
    </row>
    <row r="373" spans="3:3" x14ac:dyDescent="0.25">
      <c r="C373" s="31" t="s">
        <v>59</v>
      </c>
    </row>
    <row r="374" spans="3:3" x14ac:dyDescent="0.25">
      <c r="C374" s="30" t="s">
        <v>28</v>
      </c>
    </row>
    <row r="375" spans="3:3" x14ac:dyDescent="0.25">
      <c r="C375" s="31" t="s">
        <v>36</v>
      </c>
    </row>
    <row r="376" spans="3:3" x14ac:dyDescent="0.25">
      <c r="C376" s="30" t="s">
        <v>28</v>
      </c>
    </row>
    <row r="377" spans="3:3" x14ac:dyDescent="0.25">
      <c r="C377" s="31" t="s">
        <v>28</v>
      </c>
    </row>
    <row r="378" spans="3:3" x14ac:dyDescent="0.25">
      <c r="C378" s="30" t="s">
        <v>32</v>
      </c>
    </row>
    <row r="379" spans="3:3" x14ac:dyDescent="0.25">
      <c r="C379" s="31" t="s">
        <v>36</v>
      </c>
    </row>
    <row r="380" spans="3:3" x14ac:dyDescent="0.25">
      <c r="C380" s="30" t="s">
        <v>32</v>
      </c>
    </row>
    <row r="381" spans="3:3" x14ac:dyDescent="0.25">
      <c r="C381" s="31" t="s">
        <v>36</v>
      </c>
    </row>
    <row r="382" spans="3:3" x14ac:dyDescent="0.25">
      <c r="C382" s="30" t="s">
        <v>28</v>
      </c>
    </row>
    <row r="383" spans="3:3" x14ac:dyDescent="0.25">
      <c r="C383" s="31" t="s">
        <v>32</v>
      </c>
    </row>
    <row r="384" spans="3:3" x14ac:dyDescent="0.25">
      <c r="C384" s="30" t="s">
        <v>75</v>
      </c>
    </row>
  </sheetData>
  <mergeCells count="1">
    <mergeCell ref="A1:N1"/>
  </mergeCells>
  <conditionalFormatting sqref="C318:C349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{AB8DE06F-8AD6-449A-A530-C38ABE579EE1}</x14:id>
        </ext>
      </extLst>
    </cfRule>
  </conditionalFormatting>
  <conditionalFormatting sqref="C353:C384">
    <cfRule type="cellIs" dxfId="3" priority="1" operator="equal">
      <formula>"Electronics"</formula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8DE06F-8AD6-449A-A530-C38ABE579EE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C318:C349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34B58F-1853-47C6-BDA1-C68C1CCEBB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Instructions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Sonapark</dc:creator>
  <cp:lastModifiedBy>Haritha TJ</cp:lastModifiedBy>
  <dcterms:created xsi:type="dcterms:W3CDTF">2026-10-02T18:42:51Z</dcterms:created>
  <dcterms:modified xsi:type="dcterms:W3CDTF">2026-10-03T09:24:11Z</dcterms:modified>
</cp:coreProperties>
</file>